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vmlDrawing1.vml" ContentType="application/vnd.openxmlformats-officedocument.vmlDrawing"/>
  <Override PartName="/xl/drawings/vmlDrawing2.vml" ContentType="application/vnd.openxmlformats-officedocument.vmlDrawing"/>
  <Override PartName="/xl/comments2.xml" ContentType="application/vnd.openxmlformats-officedocument.spreadsheetml.comment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"/>
  </bookViews>
  <sheets>
    <sheet name="Sara 4 pax" sheetId="1" state="visible" r:id="rId3"/>
    <sheet name="Alvaro 2 pax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1.xml><?xml version="1.0" encoding="utf-8"?>
<comments xmlns="http://schemas.openxmlformats.org/spreadsheetml/2006/main" xmlns:xdr="http://schemas.openxmlformats.org/drawingml/2006/spreadsheetDrawing">
  <authors>
    <author>Auteur inconnu</author>
  </authors>
  <commentList>
    <comment ref="M41" authorId="0">
      <text>
        <r>
          <rPr>
            <sz val="10"/>
            <rFont val="Arial"/>
            <family val="2"/>
          </rPr>
          <t xml:space="preserve">======
ID#AAAAY8i1XF4
dell    (2022-05-03 11:39:25)
retour à vide Ifaty - Moq</t>
        </r>
      </text>
    </comment>
  </commentList>
</comments>
</file>

<file path=xl/comments2.xml><?xml version="1.0" encoding="utf-8"?>
<comments xmlns="http://schemas.openxmlformats.org/spreadsheetml/2006/main" xmlns:xdr="http://schemas.openxmlformats.org/drawingml/2006/spreadsheetDrawing">
  <authors>
    <author>Auteur inconnu</author>
  </authors>
  <commentList>
    <comment ref="M41" authorId="0">
      <text>
        <r>
          <rPr>
            <sz val="10"/>
            <rFont val="Arial"/>
            <family val="2"/>
          </rPr>
          <t xml:space="preserve">======
ID#AAAAY8i1XF4
dell    (2022-05-03 11:39:25)
retour à vide Ifaty - Moq</t>
        </r>
      </text>
    </comment>
  </commentList>
</comments>
</file>

<file path=xl/sharedStrings.xml><?xml version="1.0" encoding="utf-8"?>
<sst xmlns="http://schemas.openxmlformats.org/spreadsheetml/2006/main" count="261" uniqueCount="110">
  <si>
    <t xml:space="preserve">Taux </t>
  </si>
  <si>
    <t xml:space="preserve">Transfert </t>
  </si>
  <si>
    <t xml:space="preserve">Ref client</t>
  </si>
  <si>
    <t xml:space="preserve">Pirogue</t>
  </si>
  <si>
    <t xml:space="preserve">Nbr de pax</t>
  </si>
  <si>
    <t xml:space="preserve">Bateau</t>
  </si>
  <si>
    <t xml:space="preserve">Total</t>
  </si>
  <si>
    <t xml:space="preserve">Adulte</t>
  </si>
  <si>
    <t xml:space="preserve">Location</t>
  </si>
  <si>
    <t xml:space="preserve">Marge</t>
  </si>
  <si>
    <t xml:space="preserve">Enfant</t>
  </si>
  <si>
    <t xml:space="preserve">Guidage</t>
  </si>
  <si>
    <t xml:space="preserve">Tarif en Ariary</t>
  </si>
  <si>
    <t xml:space="preserve">Bébé</t>
  </si>
  <si>
    <t xml:space="preserve">Carburant</t>
  </si>
  <si>
    <t xml:space="preserve">Tarif en Euro</t>
  </si>
  <si>
    <t xml:space="preserve">Date de cotation</t>
  </si>
  <si>
    <t xml:space="preserve">Reserves</t>
  </si>
  <si>
    <t xml:space="preserve">chbre</t>
  </si>
  <si>
    <t xml:space="preserve">Parcs</t>
  </si>
  <si>
    <t xml:space="preserve">hebergements</t>
  </si>
  <si>
    <t xml:space="preserve">Repas</t>
  </si>
  <si>
    <t xml:space="preserve">S Total </t>
  </si>
  <si>
    <t xml:space="preserve">Imprevu</t>
  </si>
  <si>
    <t xml:space="preserve">Nbr</t>
  </si>
  <si>
    <t xml:space="preserve">Prix</t>
  </si>
  <si>
    <t xml:space="preserve">  </t>
  </si>
  <si>
    <t xml:space="preserve">Jour</t>
  </si>
  <si>
    <t xml:space="preserve">Date</t>
  </si>
  <si>
    <t xml:space="preserve">Itinéraire</t>
  </si>
  <si>
    <t xml:space="preserve">Transfert</t>
  </si>
  <si>
    <t xml:space="preserve">Nbr de voiture</t>
  </si>
  <si>
    <t xml:space="preserve">bateau</t>
  </si>
  <si>
    <t xml:space="preserve">nbr</t>
  </si>
  <si>
    <t xml:space="preserve">prix</t>
  </si>
  <si>
    <t xml:space="preserve">Location sans carburant</t>
  </si>
  <si>
    <t xml:space="preserve">Kilometrage</t>
  </si>
  <si>
    <t xml:space="preserve">Nbr </t>
  </si>
  <si>
    <t xml:space="preserve">Reserve</t>
  </si>
  <si>
    <t xml:space="preserve">Prix </t>
  </si>
  <si>
    <t xml:space="preserve">NOM</t>
  </si>
  <si>
    <t xml:space="preserve">PN</t>
  </si>
  <si>
    <t xml:space="preserve">Transfert htl</t>
  </si>
  <si>
    <t xml:space="preserve">Double</t>
  </si>
  <si>
    <t xml:space="preserve">Hotel</t>
  </si>
  <si>
    <t xml:space="preserve">Triple</t>
  </si>
  <si>
    <t xml:space="preserve">Vinette</t>
  </si>
  <si>
    <t xml:space="preserve">nbr </t>
  </si>
  <si>
    <t xml:space="preserve">PD</t>
  </si>
  <si>
    <t xml:space="preserve">DN</t>
  </si>
  <si>
    <t xml:space="preserve">DJ</t>
  </si>
  <si>
    <t xml:space="preserve">Andasibe</t>
  </si>
  <si>
    <t xml:space="preserve">Ambatolampy </t>
  </si>
  <si>
    <t xml:space="preserve">Chalets des Roses</t>
  </si>
  <si>
    <t xml:space="preserve">Antananarivo</t>
  </si>
  <si>
    <t xml:space="preserve">RENIALA</t>
  </si>
  <si>
    <t xml:space="preserve">Morondava</t>
  </si>
  <si>
    <t xml:space="preserve">Allée des Baobab </t>
  </si>
  <si>
    <t xml:space="preserve">Vezo Beach</t>
  </si>
  <si>
    <t xml:space="preserve">Bekopaka</t>
  </si>
  <si>
    <t xml:space="preserve">Grand Hotel du Tsingy</t>
  </si>
  <si>
    <t xml:space="preserve">Manandona </t>
  </si>
  <si>
    <t xml:space="preserve">Vakona</t>
  </si>
  <si>
    <t xml:space="preserve">Ifaty</t>
  </si>
  <si>
    <t xml:space="preserve">Bemaraha</t>
  </si>
  <si>
    <t xml:space="preserve">Bamboo club</t>
  </si>
  <si>
    <t xml:space="preserve">Kirindy</t>
  </si>
  <si>
    <t xml:space="preserve">Tritriva</t>
  </si>
  <si>
    <t xml:space="preserve">Ranohira</t>
  </si>
  <si>
    <t xml:space="preserve">Voimma</t>
  </si>
  <si>
    <t xml:space="preserve">KIVALO</t>
  </si>
  <si>
    <t xml:space="preserve">Hotel H1</t>
  </si>
  <si>
    <t xml:space="preserve">Anja </t>
  </si>
  <si>
    <t xml:space="preserve">Fianarantsoa</t>
  </si>
  <si>
    <t xml:space="preserve">Zafimaniry</t>
  </si>
  <si>
    <t xml:space="preserve">Isalo</t>
  </si>
  <si>
    <t xml:space="preserve">Zomatel</t>
  </si>
  <si>
    <t xml:space="preserve">Antsirabe</t>
  </si>
  <si>
    <t xml:space="preserve">Palmarium</t>
  </si>
  <si>
    <t xml:space="preserve">MenabeL</t>
  </si>
  <si>
    <t xml:space="preserve">Mitsinjo</t>
  </si>
  <si>
    <t xml:space="preserve">Zombitse</t>
  </si>
  <si>
    <t xml:space="preserve">Salida</t>
  </si>
  <si>
    <t xml:space="preserve">PN andasibe</t>
  </si>
  <si>
    <t xml:space="preserve">htl - apt</t>
  </si>
  <si>
    <t xml:space="preserve">Tana </t>
  </si>
  <si>
    <t xml:space="preserve">Diverses</t>
  </si>
  <si>
    <t xml:space="preserve">     </t>
  </si>
  <si>
    <t xml:space="preserve">Tnr-per</t>
  </si>
  <si>
    <t xml:space="preserve">Feo ny Ala</t>
  </si>
  <si>
    <t xml:space="preserve">per</t>
  </si>
  <si>
    <t xml:space="preserve">Per-atj</t>
  </si>
  <si>
    <t xml:space="preserve">Menabe L</t>
  </si>
  <si>
    <t xml:space="preserve">atj-moq</t>
  </si>
  <si>
    <t xml:space="preserve">Palissandres</t>
  </si>
  <si>
    <t xml:space="preserve">Morondava-Bekopaka</t>
  </si>
  <si>
    <t xml:space="preserve">Soleil du Tsingy PC</t>
  </si>
  <si>
    <t xml:space="preserve">Bekopaka-Morondava</t>
  </si>
  <si>
    <t xml:space="preserve">Morondava-Ifaty</t>
  </si>
  <si>
    <t xml:space="preserve">Ifaty-Ranohira</t>
  </si>
  <si>
    <t xml:space="preserve">Jardin du roi MP</t>
  </si>
  <si>
    <t xml:space="preserve">Ranohira-wifi</t>
  </si>
  <si>
    <t xml:space="preserve">wifi-atj</t>
  </si>
  <si>
    <t xml:space="preserve">Atj-Tnr</t>
  </si>
  <si>
    <t xml:space="preserve"> </t>
  </si>
  <si>
    <t xml:space="preserve">Radison Blu</t>
  </si>
  <si>
    <t xml:space="preserve">Tnr-Nosy Be</t>
  </si>
  <si>
    <t xml:space="preserve">L'heure Bleu MP</t>
  </si>
  <si>
    <t xml:space="preserve">Nosy Be</t>
  </si>
  <si>
    <t xml:space="preserve">Nosy Be -vuelo de regreso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</si>
</sst>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0"/>
    <numFmt numFmtId="166" formatCode="General"/>
    <numFmt numFmtId="167" formatCode="d/m/yyyy"/>
  </numFmts>
  <fonts count="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rgb="FFFF0000"/>
      <name val="Calibri"/>
      <family val="2"/>
      <charset val="1"/>
    </font>
    <font>
      <b val="true"/>
      <sz val="11"/>
      <color rgb="FFFFFFFF"/>
      <name val="Calibri"/>
      <family val="2"/>
      <charset val="1"/>
    </font>
    <font>
      <sz val="11"/>
      <color rgb="FF000000"/>
      <name val="Calibri"/>
      <family val="2"/>
      <charset val="1"/>
    </font>
    <font>
      <sz val="10"/>
      <name val="Arial"/>
      <family val="2"/>
    </font>
  </fonts>
  <fills count="18">
    <fill>
      <patternFill patternType="none"/>
    </fill>
    <fill>
      <patternFill patternType="gray125"/>
    </fill>
    <fill>
      <patternFill patternType="solid">
        <fgColor theme="5"/>
        <bgColor rgb="FFFF8080"/>
      </patternFill>
    </fill>
    <fill>
      <patternFill patternType="solid">
        <fgColor rgb="FF00B0F0"/>
        <bgColor rgb="FF33CCCC"/>
      </patternFill>
    </fill>
    <fill>
      <patternFill patternType="solid">
        <fgColor rgb="FFFFFF00"/>
        <bgColor rgb="FFFFFF00"/>
      </patternFill>
    </fill>
    <fill>
      <patternFill patternType="solid">
        <fgColor rgb="FF00B050"/>
        <bgColor rgb="FF008080"/>
      </patternFill>
    </fill>
    <fill>
      <patternFill patternType="solid">
        <fgColor rgb="FF9CC2E5"/>
        <bgColor rgb="FFBDD6EE"/>
      </patternFill>
    </fill>
    <fill>
      <patternFill patternType="solid">
        <fgColor rgb="FF92D050"/>
        <bgColor rgb="FFA8D08D"/>
      </patternFill>
    </fill>
    <fill>
      <patternFill patternType="solid">
        <fgColor rgb="FFFFC000"/>
        <bgColor rgb="FFFF9900"/>
      </patternFill>
    </fill>
    <fill>
      <patternFill patternType="solid">
        <fgColor rgb="FFDEEAF6"/>
        <bgColor rgb="FFCCFFFF"/>
      </patternFill>
    </fill>
    <fill>
      <patternFill patternType="solid">
        <fgColor rgb="FFC8C8C8"/>
        <bgColor rgb="FFBDD6EE"/>
      </patternFill>
    </fill>
    <fill>
      <patternFill patternType="solid">
        <fgColor rgb="FFFFD965"/>
        <bgColor rgb="FFFFFF99"/>
      </patternFill>
    </fill>
    <fill>
      <patternFill patternType="solid">
        <fgColor rgb="FFC55A11"/>
        <bgColor rgb="FFED7D31"/>
      </patternFill>
    </fill>
    <fill>
      <patternFill patternType="solid">
        <fgColor rgb="FFFA6CF3"/>
        <bgColor rgb="FFFF8080"/>
      </patternFill>
    </fill>
    <fill>
      <patternFill patternType="solid">
        <fgColor rgb="FFA8D08D"/>
        <bgColor rgb="FF92D050"/>
      </patternFill>
    </fill>
    <fill>
      <patternFill patternType="solid">
        <fgColor theme="4"/>
        <bgColor rgb="FF666699"/>
      </patternFill>
    </fill>
    <fill>
      <patternFill patternType="solid">
        <fgColor rgb="FF5B9BD5"/>
        <bgColor rgb="FF4472C4"/>
      </patternFill>
    </fill>
    <fill>
      <patternFill patternType="solid">
        <fgColor rgb="FFBDD6EE"/>
        <bgColor rgb="FFC8C8C8"/>
      </patternFill>
    </fill>
  </fills>
  <borders count="41">
    <border diagonalUp="false" diagonalDown="false">
      <left/>
      <right/>
      <top/>
      <bottom/>
      <diagonal/>
    </border>
    <border diagonalUp="false" diagonalDown="false">
      <left style="hair"/>
      <right style="hair"/>
      <top style="hair"/>
      <bottom style="hair"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medium"/>
      <right style="hair"/>
      <top style="medium"/>
      <bottom style="hair"/>
      <diagonal/>
    </border>
    <border diagonalUp="false" diagonalDown="false">
      <left style="hair"/>
      <right style="medium"/>
      <top style="medium"/>
      <bottom style="hair"/>
      <diagonal/>
    </border>
    <border diagonalUp="false" diagonalDown="false">
      <left style="medium"/>
      <right style="hair"/>
      <top style="hair"/>
      <bottom style="hair"/>
      <diagonal/>
    </border>
    <border diagonalUp="false" diagonalDown="false">
      <left style="hair"/>
      <right style="medium"/>
      <top style="hair"/>
      <bottom style="hair"/>
      <diagonal/>
    </border>
    <border diagonalUp="false" diagonalDown="false">
      <left style="medium"/>
      <right style="hair"/>
      <top style="hair"/>
      <bottom style="medium"/>
      <diagonal/>
    </border>
    <border diagonalUp="false" diagonalDown="false">
      <left style="hair"/>
      <right style="medium"/>
      <top style="hair"/>
      <bottom style="medium"/>
      <diagonal/>
    </border>
    <border diagonalUp="false" diagonalDown="false">
      <left style="hair"/>
      <right style="hair"/>
      <top/>
      <bottom/>
      <diagonal/>
    </border>
    <border diagonalUp="false" diagonalDown="false">
      <left style="hair"/>
      <right style="hair"/>
      <top style="thin"/>
      <bottom style="hair"/>
      <diagonal/>
    </border>
    <border diagonalUp="false" diagonalDown="false">
      <left style="hair"/>
      <right style="hair"/>
      <top style="medium"/>
      <bottom style="hair"/>
      <diagonal/>
    </border>
    <border diagonalUp="false" diagonalDown="false">
      <left/>
      <right/>
      <top style="medium"/>
      <bottom style="medium"/>
      <diagonal/>
    </border>
    <border diagonalUp="false" diagonalDown="false">
      <left style="medium"/>
      <right style="hair"/>
      <top style="medium"/>
      <bottom style="medium"/>
      <diagonal/>
    </border>
    <border diagonalUp="false" diagonalDown="false">
      <left style="hair"/>
      <right style="hair"/>
      <top style="medium"/>
      <bottom style="medium"/>
      <diagonal/>
    </border>
    <border diagonalUp="false" diagonalDown="false">
      <left style="hair"/>
      <right style="medium"/>
      <top style="medium"/>
      <bottom style="medium"/>
      <diagonal/>
    </border>
    <border diagonalUp="false" diagonalDown="false">
      <left style="medium"/>
      <right style="medium"/>
      <top style="medium"/>
      <bottom style="hair"/>
      <diagonal/>
    </border>
    <border diagonalUp="false" diagonalDown="false">
      <left/>
      <right/>
      <top style="medium"/>
      <bottom/>
      <diagonal/>
    </border>
    <border diagonalUp="false" diagonalDown="false">
      <left style="medium"/>
      <right/>
      <top style="medium"/>
      <bottom style="medium"/>
      <diagonal/>
    </border>
    <border diagonalUp="false" diagonalDown="false">
      <left/>
      <right style="medium"/>
      <top style="medium"/>
      <bottom style="medium"/>
      <diagonal/>
    </border>
    <border diagonalUp="false" diagonalDown="false">
      <left style="hair"/>
      <right/>
      <top style="medium"/>
      <bottom style="hair"/>
      <diagonal/>
    </border>
    <border diagonalUp="false" diagonalDown="false">
      <left style="hair"/>
      <right style="hair"/>
      <top/>
      <bottom style="hair"/>
      <diagonal/>
    </border>
    <border diagonalUp="false" diagonalDown="false">
      <left style="hair"/>
      <right style="medium"/>
      <top/>
      <bottom style="hair"/>
      <diagonal/>
    </border>
    <border diagonalUp="false" diagonalDown="false">
      <left style="medium"/>
      <right style="medium"/>
      <top style="hair"/>
      <bottom style="hair"/>
      <diagonal/>
    </border>
    <border diagonalUp="false" diagonalDown="false">
      <left/>
      <right style="hair"/>
      <top/>
      <bottom style="hair"/>
      <diagonal/>
    </border>
    <border diagonalUp="false" diagonalDown="false">
      <left/>
      <right/>
      <top/>
      <bottom style="hair"/>
      <diagonal/>
    </border>
    <border diagonalUp="false" diagonalDown="false">
      <left style="medium"/>
      <right style="hair"/>
      <top/>
      <bottom style="hair"/>
      <diagonal/>
    </border>
    <border diagonalUp="false" diagonalDown="false">
      <left style="medium">
        <color rgb="FFFFFFFF"/>
      </left>
      <right style="medium">
        <color rgb="FFFFFFFF"/>
      </right>
      <top style="medium">
        <color rgb="FFFFFFFF"/>
      </top>
      <bottom style="medium">
        <color rgb="FFFFFFFF"/>
      </bottom>
      <diagonal/>
    </border>
    <border diagonalUp="false" diagonalDown="false">
      <left/>
      <right style="hair"/>
      <top style="hair"/>
      <bottom style="hair"/>
      <diagonal/>
    </border>
    <border diagonalUp="false" diagonalDown="false">
      <left/>
      <right style="hair"/>
      <top style="medium"/>
      <bottom style="hair"/>
      <diagonal/>
    </border>
    <border diagonalUp="false" diagonalDown="false">
      <left style="hair"/>
      <right/>
      <top style="hair"/>
      <bottom style="hair"/>
      <diagonal/>
    </border>
    <border diagonalUp="false" diagonalDown="false">
      <left/>
      <right/>
      <top style="hair"/>
      <bottom style="hair"/>
      <diagonal/>
    </border>
    <border diagonalUp="false" diagonalDown="false">
      <left style="medium">
        <color rgb="FFFFFFFF"/>
      </left>
      <right style="medium">
        <color rgb="FFFFFFFF"/>
      </right>
      <top/>
      <bottom style="medium">
        <color rgb="FFFFFFFF"/>
      </bottom>
      <diagonal/>
    </border>
    <border diagonalUp="false" diagonalDown="false">
      <left style="hair"/>
      <right style="medium"/>
      <top/>
      <bottom/>
      <diagonal/>
    </border>
    <border diagonalUp="false" diagonalDown="false">
      <left style="medium"/>
      <right style="hair"/>
      <top/>
      <bottom/>
      <diagonal/>
    </border>
    <border diagonalUp="false" diagonalDown="false">
      <left/>
      <right style="hair"/>
      <top/>
      <bottom/>
      <diagonal/>
    </border>
    <border diagonalUp="false" diagonalDown="false">
      <left style="hair"/>
      <right style="hair"/>
      <top style="hair"/>
      <bottom style="medium"/>
      <diagonal/>
    </border>
    <border diagonalUp="false" diagonalDown="false">
      <left style="medium"/>
      <right style="medium"/>
      <top style="hair"/>
      <bottom style="medium"/>
      <diagonal/>
    </border>
    <border diagonalUp="false" diagonalDown="false">
      <left/>
      <right style="hair"/>
      <top style="hair"/>
      <bottom style="medium"/>
      <diagonal/>
    </border>
    <border diagonalUp="false" diagonalDown="false">
      <left/>
      <right/>
      <top style="hair"/>
      <bottom style="medium"/>
      <diagonal/>
    </border>
    <border diagonalUp="false" diagonalDown="false">
      <left style="hair"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7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4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8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4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4" fillId="4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4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5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6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6" borderId="1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6" borderId="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4" borderId="1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7" borderId="1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8" borderId="1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5" borderId="1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5" borderId="1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5" borderId="1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5" borderId="1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9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9" borderId="1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9" borderId="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10" borderId="1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7" borderId="1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11" borderId="1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12" borderId="1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13" borderId="18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13" borderId="1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13" borderId="1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14" borderId="18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14" borderId="1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14" borderId="1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15" borderId="1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15" borderId="1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15" borderId="1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2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2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2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2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2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2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2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16" borderId="27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0" fillId="0" borderId="28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2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9" borderId="27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6" fontId="0" fillId="0" borderId="3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3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17" borderId="32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0" fillId="4" borderId="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9" borderId="32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0" fillId="0" borderId="3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8" borderId="2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3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3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8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3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3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38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3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4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8C8C8"/>
      <rgbColor rgb="FF808080"/>
      <rgbColor rgb="FF5B9BD5"/>
      <rgbColor rgb="FF993366"/>
      <rgbColor rgb="FFFFFFCC"/>
      <rgbColor rgb="FFDEEAF6"/>
      <rgbColor rgb="FF660066"/>
      <rgbColor rgb="FFFF8080"/>
      <rgbColor rgb="FF0066CC"/>
      <rgbColor rgb="FFBDD6E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B0F0"/>
      <rgbColor rgb="FFCCFFFF"/>
      <rgbColor rgb="FFCCFFCC"/>
      <rgbColor rgb="FFFFFF99"/>
      <rgbColor rgb="FF9CC2E5"/>
      <rgbColor rgb="FFFA6CF3"/>
      <rgbColor rgb="FFCC99FF"/>
      <rgbColor rgb="FFFFD965"/>
      <rgbColor rgb="FF4472C4"/>
      <rgbColor rgb="FF33CCCC"/>
      <rgbColor rgb="FF92D050"/>
      <rgbColor rgb="FFFFC000"/>
      <rgbColor rgb="FFFF9900"/>
      <rgbColor rgb="FFED7D31"/>
      <rgbColor rgb="FF666699"/>
      <rgbColor rgb="FFA8D08D"/>
      <rgbColor rgb="FF003366"/>
      <rgbColor rgb="FF00B050"/>
      <rgbColor rgb="FF003300"/>
      <rgbColor rgb="FF333300"/>
      <rgbColor rgb="FFC55A11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Thème Offic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vmlDrawing" Target="../drawings/vmlDrawing1.v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vmlDrawing" Target="../drawings/vmlDrawing2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A10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4.453125" defaultRowHeight="14.25" zeroHeight="false" outlineLevelRow="0" outlineLevelCol="0"/>
  <cols>
    <col collapsed="false" customWidth="true" hidden="false" outlineLevel="0" max="1" min="1" style="0" width="15.54"/>
    <col collapsed="false" customWidth="true" hidden="false" outlineLevel="0" max="2" min="2" style="0" width="10.73"/>
    <col collapsed="false" customWidth="true" hidden="false" outlineLevel="0" max="3" min="3" style="0" width="34.27"/>
    <col collapsed="false" customWidth="true" hidden="false" outlineLevel="0" max="4" min="4" style="0" width="13.82"/>
    <col collapsed="false" customWidth="true" hidden="false" outlineLevel="0" max="7" min="5" style="0" width="11.45"/>
    <col collapsed="false" customWidth="true" hidden="false" outlineLevel="0" max="8" min="8" style="0" width="16.73"/>
    <col collapsed="false" customWidth="true" hidden="false" outlineLevel="0" max="16" min="9" style="0" width="11.45"/>
    <col collapsed="false" customWidth="true" hidden="false" outlineLevel="0" max="17" min="17" style="0" width="19"/>
    <col collapsed="false" customWidth="true" hidden="false" outlineLevel="0" max="19" min="18" style="0" width="11.45"/>
    <col collapsed="false" customWidth="true" hidden="false" outlineLevel="0" max="20" min="20" style="0" width="17.18"/>
    <col collapsed="false" customWidth="true" hidden="false" outlineLevel="0" max="24" min="21" style="0" width="11.45"/>
    <col collapsed="false" customWidth="true" hidden="false" outlineLevel="0" max="25" min="25" style="0" width="14.18"/>
    <col collapsed="false" customWidth="true" hidden="false" outlineLevel="0" max="33" min="26" style="0" width="11.45"/>
    <col collapsed="false" customWidth="true" hidden="false" outlineLevel="0" max="34" min="34" style="0" width="25"/>
    <col collapsed="false" customWidth="true" hidden="false" outlineLevel="0" max="37" min="35" style="0" width="10.73"/>
    <col collapsed="false" customWidth="true" hidden="false" outlineLevel="0" max="44" min="38" style="0" width="11.45"/>
    <col collapsed="false" customWidth="true" hidden="false" outlineLevel="0" max="53" min="45" style="0" width="10.73"/>
    <col collapsed="false" customWidth="true" hidden="false" outlineLevel="0" max="257" min="257" style="0" width="15.54"/>
    <col collapsed="false" customWidth="true" hidden="false" outlineLevel="0" max="258" min="258" style="0" width="10.73"/>
    <col collapsed="false" customWidth="true" hidden="false" outlineLevel="0" max="259" min="259" style="0" width="34.27"/>
    <col collapsed="false" customWidth="true" hidden="false" outlineLevel="0" max="260" min="260" style="0" width="13.82"/>
    <col collapsed="false" customWidth="true" hidden="false" outlineLevel="0" max="263" min="261" style="0" width="11.45"/>
    <col collapsed="false" customWidth="true" hidden="false" outlineLevel="0" max="264" min="264" style="0" width="16.73"/>
    <col collapsed="false" customWidth="true" hidden="false" outlineLevel="0" max="272" min="265" style="0" width="11.45"/>
    <col collapsed="false" customWidth="true" hidden="false" outlineLevel="0" max="273" min="273" style="0" width="19"/>
    <col collapsed="false" customWidth="true" hidden="false" outlineLevel="0" max="275" min="274" style="0" width="11.45"/>
    <col collapsed="false" customWidth="true" hidden="false" outlineLevel="0" max="276" min="276" style="0" width="17.18"/>
    <col collapsed="false" customWidth="true" hidden="false" outlineLevel="0" max="280" min="277" style="0" width="11.45"/>
    <col collapsed="false" customWidth="true" hidden="false" outlineLevel="0" max="281" min="281" style="0" width="14.18"/>
    <col collapsed="false" customWidth="true" hidden="false" outlineLevel="0" max="289" min="282" style="0" width="11.45"/>
    <col collapsed="false" customWidth="true" hidden="false" outlineLevel="0" max="290" min="290" style="0" width="25"/>
    <col collapsed="false" customWidth="true" hidden="false" outlineLevel="0" max="293" min="291" style="0" width="10.73"/>
    <col collapsed="false" customWidth="true" hidden="false" outlineLevel="0" max="300" min="294" style="0" width="11.45"/>
    <col collapsed="false" customWidth="true" hidden="false" outlineLevel="0" max="309" min="301" style="0" width="10.73"/>
    <col collapsed="false" customWidth="true" hidden="false" outlineLevel="0" max="513" min="513" style="0" width="15.54"/>
    <col collapsed="false" customWidth="true" hidden="false" outlineLevel="0" max="514" min="514" style="0" width="10.73"/>
    <col collapsed="false" customWidth="true" hidden="false" outlineLevel="0" max="515" min="515" style="0" width="34.27"/>
    <col collapsed="false" customWidth="true" hidden="false" outlineLevel="0" max="516" min="516" style="0" width="13.82"/>
    <col collapsed="false" customWidth="true" hidden="false" outlineLevel="0" max="519" min="517" style="0" width="11.45"/>
    <col collapsed="false" customWidth="true" hidden="false" outlineLevel="0" max="520" min="520" style="0" width="16.73"/>
    <col collapsed="false" customWidth="true" hidden="false" outlineLevel="0" max="528" min="521" style="0" width="11.45"/>
    <col collapsed="false" customWidth="true" hidden="false" outlineLevel="0" max="529" min="529" style="0" width="19"/>
    <col collapsed="false" customWidth="true" hidden="false" outlineLevel="0" max="531" min="530" style="0" width="11.45"/>
    <col collapsed="false" customWidth="true" hidden="false" outlineLevel="0" max="532" min="532" style="0" width="17.18"/>
    <col collapsed="false" customWidth="true" hidden="false" outlineLevel="0" max="536" min="533" style="0" width="11.45"/>
    <col collapsed="false" customWidth="true" hidden="false" outlineLevel="0" max="537" min="537" style="0" width="14.18"/>
    <col collapsed="false" customWidth="true" hidden="false" outlineLevel="0" max="545" min="538" style="0" width="11.45"/>
    <col collapsed="false" customWidth="true" hidden="false" outlineLevel="0" max="546" min="546" style="0" width="25"/>
    <col collapsed="false" customWidth="true" hidden="false" outlineLevel="0" max="549" min="547" style="0" width="10.73"/>
    <col collapsed="false" customWidth="true" hidden="false" outlineLevel="0" max="556" min="550" style="0" width="11.45"/>
    <col collapsed="false" customWidth="true" hidden="false" outlineLevel="0" max="565" min="557" style="0" width="10.73"/>
    <col collapsed="false" customWidth="true" hidden="false" outlineLevel="0" max="769" min="769" style="0" width="15.54"/>
    <col collapsed="false" customWidth="true" hidden="false" outlineLevel="0" max="770" min="770" style="0" width="10.73"/>
    <col collapsed="false" customWidth="true" hidden="false" outlineLevel="0" max="771" min="771" style="0" width="34.27"/>
    <col collapsed="false" customWidth="true" hidden="false" outlineLevel="0" max="772" min="772" style="0" width="13.82"/>
    <col collapsed="false" customWidth="true" hidden="false" outlineLevel="0" max="775" min="773" style="0" width="11.45"/>
    <col collapsed="false" customWidth="true" hidden="false" outlineLevel="0" max="776" min="776" style="0" width="16.73"/>
    <col collapsed="false" customWidth="true" hidden="false" outlineLevel="0" max="784" min="777" style="0" width="11.45"/>
    <col collapsed="false" customWidth="true" hidden="false" outlineLevel="0" max="785" min="785" style="0" width="19"/>
    <col collapsed="false" customWidth="true" hidden="false" outlineLevel="0" max="787" min="786" style="0" width="11.45"/>
    <col collapsed="false" customWidth="true" hidden="false" outlineLevel="0" max="788" min="788" style="0" width="17.18"/>
    <col collapsed="false" customWidth="true" hidden="false" outlineLevel="0" max="792" min="789" style="0" width="11.45"/>
    <col collapsed="false" customWidth="true" hidden="false" outlineLevel="0" max="793" min="793" style="0" width="14.18"/>
    <col collapsed="false" customWidth="true" hidden="false" outlineLevel="0" max="801" min="794" style="0" width="11.45"/>
    <col collapsed="false" customWidth="true" hidden="false" outlineLevel="0" max="802" min="802" style="0" width="25"/>
    <col collapsed="false" customWidth="true" hidden="false" outlineLevel="0" max="805" min="803" style="0" width="10.73"/>
    <col collapsed="false" customWidth="true" hidden="false" outlineLevel="0" max="812" min="806" style="0" width="11.45"/>
    <col collapsed="false" customWidth="true" hidden="false" outlineLevel="0" max="821" min="813" style="0" width="10.73"/>
    <col collapsed="false" customWidth="true" hidden="false" outlineLevel="0" max="1025" min="1025" style="0" width="15.54"/>
    <col collapsed="false" customWidth="true" hidden="false" outlineLevel="0" max="1026" min="1026" style="0" width="10.73"/>
    <col collapsed="false" customWidth="true" hidden="false" outlineLevel="0" max="1027" min="1027" style="0" width="34.27"/>
    <col collapsed="false" customWidth="true" hidden="false" outlineLevel="0" max="1028" min="1028" style="0" width="13.82"/>
    <col collapsed="false" customWidth="true" hidden="false" outlineLevel="0" max="1031" min="1029" style="0" width="11.45"/>
    <col collapsed="false" customWidth="true" hidden="false" outlineLevel="0" max="1032" min="1032" style="0" width="16.73"/>
    <col collapsed="false" customWidth="true" hidden="false" outlineLevel="0" max="1040" min="1033" style="0" width="11.45"/>
    <col collapsed="false" customWidth="true" hidden="false" outlineLevel="0" max="1041" min="1041" style="0" width="19"/>
    <col collapsed="false" customWidth="true" hidden="false" outlineLevel="0" max="1043" min="1042" style="0" width="11.45"/>
    <col collapsed="false" customWidth="true" hidden="false" outlineLevel="0" max="1044" min="1044" style="0" width="17.18"/>
    <col collapsed="false" customWidth="true" hidden="false" outlineLevel="0" max="1048" min="1045" style="0" width="11.45"/>
    <col collapsed="false" customWidth="true" hidden="false" outlineLevel="0" max="1049" min="1049" style="0" width="14.18"/>
    <col collapsed="false" customWidth="true" hidden="false" outlineLevel="0" max="1057" min="1050" style="0" width="11.45"/>
    <col collapsed="false" customWidth="true" hidden="false" outlineLevel="0" max="1058" min="1058" style="0" width="25"/>
    <col collapsed="false" customWidth="true" hidden="false" outlineLevel="0" max="1061" min="1059" style="0" width="10.73"/>
    <col collapsed="false" customWidth="true" hidden="false" outlineLevel="0" max="1068" min="1062" style="0" width="11.45"/>
    <col collapsed="false" customWidth="true" hidden="false" outlineLevel="0" max="1077" min="1069" style="0" width="10.73"/>
    <col collapsed="false" customWidth="true" hidden="false" outlineLevel="0" max="1281" min="1281" style="0" width="15.54"/>
    <col collapsed="false" customWidth="true" hidden="false" outlineLevel="0" max="1282" min="1282" style="0" width="10.73"/>
    <col collapsed="false" customWidth="true" hidden="false" outlineLevel="0" max="1283" min="1283" style="0" width="34.27"/>
    <col collapsed="false" customWidth="true" hidden="false" outlineLevel="0" max="1284" min="1284" style="0" width="13.82"/>
    <col collapsed="false" customWidth="true" hidden="false" outlineLevel="0" max="1287" min="1285" style="0" width="11.45"/>
    <col collapsed="false" customWidth="true" hidden="false" outlineLevel="0" max="1288" min="1288" style="0" width="16.73"/>
    <col collapsed="false" customWidth="true" hidden="false" outlineLevel="0" max="1296" min="1289" style="0" width="11.45"/>
    <col collapsed="false" customWidth="true" hidden="false" outlineLevel="0" max="1297" min="1297" style="0" width="19"/>
    <col collapsed="false" customWidth="true" hidden="false" outlineLevel="0" max="1299" min="1298" style="0" width="11.45"/>
    <col collapsed="false" customWidth="true" hidden="false" outlineLevel="0" max="1300" min="1300" style="0" width="17.18"/>
    <col collapsed="false" customWidth="true" hidden="false" outlineLevel="0" max="1304" min="1301" style="0" width="11.45"/>
    <col collapsed="false" customWidth="true" hidden="false" outlineLevel="0" max="1305" min="1305" style="0" width="14.18"/>
    <col collapsed="false" customWidth="true" hidden="false" outlineLevel="0" max="1313" min="1306" style="0" width="11.45"/>
    <col collapsed="false" customWidth="true" hidden="false" outlineLevel="0" max="1314" min="1314" style="0" width="25"/>
    <col collapsed="false" customWidth="true" hidden="false" outlineLevel="0" max="1317" min="1315" style="0" width="10.73"/>
    <col collapsed="false" customWidth="true" hidden="false" outlineLevel="0" max="1324" min="1318" style="0" width="11.45"/>
    <col collapsed="false" customWidth="true" hidden="false" outlineLevel="0" max="1333" min="1325" style="0" width="10.73"/>
    <col collapsed="false" customWidth="true" hidden="false" outlineLevel="0" max="1537" min="1537" style="0" width="15.54"/>
    <col collapsed="false" customWidth="true" hidden="false" outlineLevel="0" max="1538" min="1538" style="0" width="10.73"/>
    <col collapsed="false" customWidth="true" hidden="false" outlineLevel="0" max="1539" min="1539" style="0" width="34.27"/>
    <col collapsed="false" customWidth="true" hidden="false" outlineLevel="0" max="1540" min="1540" style="0" width="13.82"/>
    <col collapsed="false" customWidth="true" hidden="false" outlineLevel="0" max="1543" min="1541" style="0" width="11.45"/>
    <col collapsed="false" customWidth="true" hidden="false" outlineLevel="0" max="1544" min="1544" style="0" width="16.73"/>
    <col collapsed="false" customWidth="true" hidden="false" outlineLevel="0" max="1552" min="1545" style="0" width="11.45"/>
    <col collapsed="false" customWidth="true" hidden="false" outlineLevel="0" max="1553" min="1553" style="0" width="19"/>
    <col collapsed="false" customWidth="true" hidden="false" outlineLevel="0" max="1555" min="1554" style="0" width="11.45"/>
    <col collapsed="false" customWidth="true" hidden="false" outlineLevel="0" max="1556" min="1556" style="0" width="17.18"/>
    <col collapsed="false" customWidth="true" hidden="false" outlineLevel="0" max="1560" min="1557" style="0" width="11.45"/>
    <col collapsed="false" customWidth="true" hidden="false" outlineLevel="0" max="1561" min="1561" style="0" width="14.18"/>
    <col collapsed="false" customWidth="true" hidden="false" outlineLevel="0" max="1569" min="1562" style="0" width="11.45"/>
    <col collapsed="false" customWidth="true" hidden="false" outlineLevel="0" max="1570" min="1570" style="0" width="25"/>
    <col collapsed="false" customWidth="true" hidden="false" outlineLevel="0" max="1573" min="1571" style="0" width="10.73"/>
    <col collapsed="false" customWidth="true" hidden="false" outlineLevel="0" max="1580" min="1574" style="0" width="11.45"/>
    <col collapsed="false" customWidth="true" hidden="false" outlineLevel="0" max="1589" min="1581" style="0" width="10.73"/>
    <col collapsed="false" customWidth="true" hidden="false" outlineLevel="0" max="1793" min="1793" style="0" width="15.54"/>
    <col collapsed="false" customWidth="true" hidden="false" outlineLevel="0" max="1794" min="1794" style="0" width="10.73"/>
    <col collapsed="false" customWidth="true" hidden="false" outlineLevel="0" max="1795" min="1795" style="0" width="34.27"/>
    <col collapsed="false" customWidth="true" hidden="false" outlineLevel="0" max="1796" min="1796" style="0" width="13.82"/>
    <col collapsed="false" customWidth="true" hidden="false" outlineLevel="0" max="1799" min="1797" style="0" width="11.45"/>
    <col collapsed="false" customWidth="true" hidden="false" outlineLevel="0" max="1800" min="1800" style="0" width="16.73"/>
    <col collapsed="false" customWidth="true" hidden="false" outlineLevel="0" max="1808" min="1801" style="0" width="11.45"/>
    <col collapsed="false" customWidth="true" hidden="false" outlineLevel="0" max="1809" min="1809" style="0" width="19"/>
    <col collapsed="false" customWidth="true" hidden="false" outlineLevel="0" max="1811" min="1810" style="0" width="11.45"/>
    <col collapsed="false" customWidth="true" hidden="false" outlineLevel="0" max="1812" min="1812" style="0" width="17.18"/>
    <col collapsed="false" customWidth="true" hidden="false" outlineLevel="0" max="1816" min="1813" style="0" width="11.45"/>
    <col collapsed="false" customWidth="true" hidden="false" outlineLevel="0" max="1817" min="1817" style="0" width="14.18"/>
    <col collapsed="false" customWidth="true" hidden="false" outlineLevel="0" max="1825" min="1818" style="0" width="11.45"/>
    <col collapsed="false" customWidth="true" hidden="false" outlineLevel="0" max="1826" min="1826" style="0" width="25"/>
    <col collapsed="false" customWidth="true" hidden="false" outlineLevel="0" max="1829" min="1827" style="0" width="10.73"/>
    <col collapsed="false" customWidth="true" hidden="false" outlineLevel="0" max="1836" min="1830" style="0" width="11.45"/>
    <col collapsed="false" customWidth="true" hidden="false" outlineLevel="0" max="1845" min="1837" style="0" width="10.73"/>
    <col collapsed="false" customWidth="true" hidden="false" outlineLevel="0" max="2049" min="2049" style="0" width="15.54"/>
    <col collapsed="false" customWidth="true" hidden="false" outlineLevel="0" max="2050" min="2050" style="0" width="10.73"/>
    <col collapsed="false" customWidth="true" hidden="false" outlineLevel="0" max="2051" min="2051" style="0" width="34.27"/>
    <col collapsed="false" customWidth="true" hidden="false" outlineLevel="0" max="2052" min="2052" style="0" width="13.82"/>
    <col collapsed="false" customWidth="true" hidden="false" outlineLevel="0" max="2055" min="2053" style="0" width="11.45"/>
    <col collapsed="false" customWidth="true" hidden="false" outlineLevel="0" max="2056" min="2056" style="0" width="16.73"/>
    <col collapsed="false" customWidth="true" hidden="false" outlineLevel="0" max="2064" min="2057" style="0" width="11.45"/>
    <col collapsed="false" customWidth="true" hidden="false" outlineLevel="0" max="2065" min="2065" style="0" width="19"/>
    <col collapsed="false" customWidth="true" hidden="false" outlineLevel="0" max="2067" min="2066" style="0" width="11.45"/>
    <col collapsed="false" customWidth="true" hidden="false" outlineLevel="0" max="2068" min="2068" style="0" width="17.18"/>
    <col collapsed="false" customWidth="true" hidden="false" outlineLevel="0" max="2072" min="2069" style="0" width="11.45"/>
    <col collapsed="false" customWidth="true" hidden="false" outlineLevel="0" max="2073" min="2073" style="0" width="14.18"/>
    <col collapsed="false" customWidth="true" hidden="false" outlineLevel="0" max="2081" min="2074" style="0" width="11.45"/>
    <col collapsed="false" customWidth="true" hidden="false" outlineLevel="0" max="2082" min="2082" style="0" width="25"/>
    <col collapsed="false" customWidth="true" hidden="false" outlineLevel="0" max="2085" min="2083" style="0" width="10.73"/>
    <col collapsed="false" customWidth="true" hidden="false" outlineLevel="0" max="2092" min="2086" style="0" width="11.45"/>
    <col collapsed="false" customWidth="true" hidden="false" outlineLevel="0" max="2101" min="2093" style="0" width="10.73"/>
    <col collapsed="false" customWidth="true" hidden="false" outlineLevel="0" max="2305" min="2305" style="0" width="15.54"/>
    <col collapsed="false" customWidth="true" hidden="false" outlineLevel="0" max="2306" min="2306" style="0" width="10.73"/>
    <col collapsed="false" customWidth="true" hidden="false" outlineLevel="0" max="2307" min="2307" style="0" width="34.27"/>
    <col collapsed="false" customWidth="true" hidden="false" outlineLevel="0" max="2308" min="2308" style="0" width="13.82"/>
    <col collapsed="false" customWidth="true" hidden="false" outlineLevel="0" max="2311" min="2309" style="0" width="11.45"/>
    <col collapsed="false" customWidth="true" hidden="false" outlineLevel="0" max="2312" min="2312" style="0" width="16.73"/>
    <col collapsed="false" customWidth="true" hidden="false" outlineLevel="0" max="2320" min="2313" style="0" width="11.45"/>
    <col collapsed="false" customWidth="true" hidden="false" outlineLevel="0" max="2321" min="2321" style="0" width="19"/>
    <col collapsed="false" customWidth="true" hidden="false" outlineLevel="0" max="2323" min="2322" style="0" width="11.45"/>
    <col collapsed="false" customWidth="true" hidden="false" outlineLevel="0" max="2324" min="2324" style="0" width="17.18"/>
    <col collapsed="false" customWidth="true" hidden="false" outlineLevel="0" max="2328" min="2325" style="0" width="11.45"/>
    <col collapsed="false" customWidth="true" hidden="false" outlineLevel="0" max="2329" min="2329" style="0" width="14.18"/>
    <col collapsed="false" customWidth="true" hidden="false" outlineLevel="0" max="2337" min="2330" style="0" width="11.45"/>
    <col collapsed="false" customWidth="true" hidden="false" outlineLevel="0" max="2338" min="2338" style="0" width="25"/>
    <col collapsed="false" customWidth="true" hidden="false" outlineLevel="0" max="2341" min="2339" style="0" width="10.73"/>
    <col collapsed="false" customWidth="true" hidden="false" outlineLevel="0" max="2348" min="2342" style="0" width="11.45"/>
    <col collapsed="false" customWidth="true" hidden="false" outlineLevel="0" max="2357" min="2349" style="0" width="10.73"/>
    <col collapsed="false" customWidth="true" hidden="false" outlineLevel="0" max="2561" min="2561" style="0" width="15.54"/>
    <col collapsed="false" customWidth="true" hidden="false" outlineLevel="0" max="2562" min="2562" style="0" width="10.73"/>
    <col collapsed="false" customWidth="true" hidden="false" outlineLevel="0" max="2563" min="2563" style="0" width="34.27"/>
    <col collapsed="false" customWidth="true" hidden="false" outlineLevel="0" max="2564" min="2564" style="0" width="13.82"/>
    <col collapsed="false" customWidth="true" hidden="false" outlineLevel="0" max="2567" min="2565" style="0" width="11.45"/>
    <col collapsed="false" customWidth="true" hidden="false" outlineLevel="0" max="2568" min="2568" style="0" width="16.73"/>
    <col collapsed="false" customWidth="true" hidden="false" outlineLevel="0" max="2576" min="2569" style="0" width="11.45"/>
    <col collapsed="false" customWidth="true" hidden="false" outlineLevel="0" max="2577" min="2577" style="0" width="19"/>
    <col collapsed="false" customWidth="true" hidden="false" outlineLevel="0" max="2579" min="2578" style="0" width="11.45"/>
    <col collapsed="false" customWidth="true" hidden="false" outlineLevel="0" max="2580" min="2580" style="0" width="17.18"/>
    <col collapsed="false" customWidth="true" hidden="false" outlineLevel="0" max="2584" min="2581" style="0" width="11.45"/>
    <col collapsed="false" customWidth="true" hidden="false" outlineLevel="0" max="2585" min="2585" style="0" width="14.18"/>
    <col collapsed="false" customWidth="true" hidden="false" outlineLevel="0" max="2593" min="2586" style="0" width="11.45"/>
    <col collapsed="false" customWidth="true" hidden="false" outlineLevel="0" max="2594" min="2594" style="0" width="25"/>
    <col collapsed="false" customWidth="true" hidden="false" outlineLevel="0" max="2597" min="2595" style="0" width="10.73"/>
    <col collapsed="false" customWidth="true" hidden="false" outlineLevel="0" max="2604" min="2598" style="0" width="11.45"/>
    <col collapsed="false" customWidth="true" hidden="false" outlineLevel="0" max="2613" min="2605" style="0" width="10.73"/>
    <col collapsed="false" customWidth="true" hidden="false" outlineLevel="0" max="2817" min="2817" style="0" width="15.54"/>
    <col collapsed="false" customWidth="true" hidden="false" outlineLevel="0" max="2818" min="2818" style="0" width="10.73"/>
    <col collapsed="false" customWidth="true" hidden="false" outlineLevel="0" max="2819" min="2819" style="0" width="34.27"/>
    <col collapsed="false" customWidth="true" hidden="false" outlineLevel="0" max="2820" min="2820" style="0" width="13.82"/>
    <col collapsed="false" customWidth="true" hidden="false" outlineLevel="0" max="2823" min="2821" style="0" width="11.45"/>
    <col collapsed="false" customWidth="true" hidden="false" outlineLevel="0" max="2824" min="2824" style="0" width="16.73"/>
    <col collapsed="false" customWidth="true" hidden="false" outlineLevel="0" max="2832" min="2825" style="0" width="11.45"/>
    <col collapsed="false" customWidth="true" hidden="false" outlineLevel="0" max="2833" min="2833" style="0" width="19"/>
    <col collapsed="false" customWidth="true" hidden="false" outlineLevel="0" max="2835" min="2834" style="0" width="11.45"/>
    <col collapsed="false" customWidth="true" hidden="false" outlineLevel="0" max="2836" min="2836" style="0" width="17.18"/>
    <col collapsed="false" customWidth="true" hidden="false" outlineLevel="0" max="2840" min="2837" style="0" width="11.45"/>
    <col collapsed="false" customWidth="true" hidden="false" outlineLevel="0" max="2841" min="2841" style="0" width="14.18"/>
    <col collapsed="false" customWidth="true" hidden="false" outlineLevel="0" max="2849" min="2842" style="0" width="11.45"/>
    <col collapsed="false" customWidth="true" hidden="false" outlineLevel="0" max="2850" min="2850" style="0" width="25"/>
    <col collapsed="false" customWidth="true" hidden="false" outlineLevel="0" max="2853" min="2851" style="0" width="10.73"/>
    <col collapsed="false" customWidth="true" hidden="false" outlineLevel="0" max="2860" min="2854" style="0" width="11.45"/>
    <col collapsed="false" customWidth="true" hidden="false" outlineLevel="0" max="2869" min="2861" style="0" width="10.73"/>
    <col collapsed="false" customWidth="true" hidden="false" outlineLevel="0" max="3073" min="3073" style="0" width="15.54"/>
    <col collapsed="false" customWidth="true" hidden="false" outlineLevel="0" max="3074" min="3074" style="0" width="10.73"/>
    <col collapsed="false" customWidth="true" hidden="false" outlineLevel="0" max="3075" min="3075" style="0" width="34.27"/>
    <col collapsed="false" customWidth="true" hidden="false" outlineLevel="0" max="3076" min="3076" style="0" width="13.82"/>
    <col collapsed="false" customWidth="true" hidden="false" outlineLevel="0" max="3079" min="3077" style="0" width="11.45"/>
    <col collapsed="false" customWidth="true" hidden="false" outlineLevel="0" max="3080" min="3080" style="0" width="16.73"/>
    <col collapsed="false" customWidth="true" hidden="false" outlineLevel="0" max="3088" min="3081" style="0" width="11.45"/>
    <col collapsed="false" customWidth="true" hidden="false" outlineLevel="0" max="3089" min="3089" style="0" width="19"/>
    <col collapsed="false" customWidth="true" hidden="false" outlineLevel="0" max="3091" min="3090" style="0" width="11.45"/>
    <col collapsed="false" customWidth="true" hidden="false" outlineLevel="0" max="3092" min="3092" style="0" width="17.18"/>
    <col collapsed="false" customWidth="true" hidden="false" outlineLevel="0" max="3096" min="3093" style="0" width="11.45"/>
    <col collapsed="false" customWidth="true" hidden="false" outlineLevel="0" max="3097" min="3097" style="0" width="14.18"/>
    <col collapsed="false" customWidth="true" hidden="false" outlineLevel="0" max="3105" min="3098" style="0" width="11.45"/>
    <col collapsed="false" customWidth="true" hidden="false" outlineLevel="0" max="3106" min="3106" style="0" width="25"/>
    <col collapsed="false" customWidth="true" hidden="false" outlineLevel="0" max="3109" min="3107" style="0" width="10.73"/>
    <col collapsed="false" customWidth="true" hidden="false" outlineLevel="0" max="3116" min="3110" style="0" width="11.45"/>
    <col collapsed="false" customWidth="true" hidden="false" outlineLevel="0" max="3125" min="3117" style="0" width="10.73"/>
    <col collapsed="false" customWidth="true" hidden="false" outlineLevel="0" max="3329" min="3329" style="0" width="15.54"/>
    <col collapsed="false" customWidth="true" hidden="false" outlineLevel="0" max="3330" min="3330" style="0" width="10.73"/>
    <col collapsed="false" customWidth="true" hidden="false" outlineLevel="0" max="3331" min="3331" style="0" width="34.27"/>
    <col collapsed="false" customWidth="true" hidden="false" outlineLevel="0" max="3332" min="3332" style="0" width="13.82"/>
    <col collapsed="false" customWidth="true" hidden="false" outlineLevel="0" max="3335" min="3333" style="0" width="11.45"/>
    <col collapsed="false" customWidth="true" hidden="false" outlineLevel="0" max="3336" min="3336" style="0" width="16.73"/>
    <col collapsed="false" customWidth="true" hidden="false" outlineLevel="0" max="3344" min="3337" style="0" width="11.45"/>
    <col collapsed="false" customWidth="true" hidden="false" outlineLevel="0" max="3345" min="3345" style="0" width="19"/>
    <col collapsed="false" customWidth="true" hidden="false" outlineLevel="0" max="3347" min="3346" style="0" width="11.45"/>
    <col collapsed="false" customWidth="true" hidden="false" outlineLevel="0" max="3348" min="3348" style="0" width="17.18"/>
    <col collapsed="false" customWidth="true" hidden="false" outlineLevel="0" max="3352" min="3349" style="0" width="11.45"/>
    <col collapsed="false" customWidth="true" hidden="false" outlineLevel="0" max="3353" min="3353" style="0" width="14.18"/>
    <col collapsed="false" customWidth="true" hidden="false" outlineLevel="0" max="3361" min="3354" style="0" width="11.45"/>
    <col collapsed="false" customWidth="true" hidden="false" outlineLevel="0" max="3362" min="3362" style="0" width="25"/>
    <col collapsed="false" customWidth="true" hidden="false" outlineLevel="0" max="3365" min="3363" style="0" width="10.73"/>
    <col collapsed="false" customWidth="true" hidden="false" outlineLevel="0" max="3372" min="3366" style="0" width="11.45"/>
    <col collapsed="false" customWidth="true" hidden="false" outlineLevel="0" max="3381" min="3373" style="0" width="10.73"/>
    <col collapsed="false" customWidth="true" hidden="false" outlineLevel="0" max="3585" min="3585" style="0" width="15.54"/>
    <col collapsed="false" customWidth="true" hidden="false" outlineLevel="0" max="3586" min="3586" style="0" width="10.73"/>
    <col collapsed="false" customWidth="true" hidden="false" outlineLevel="0" max="3587" min="3587" style="0" width="34.27"/>
    <col collapsed="false" customWidth="true" hidden="false" outlineLevel="0" max="3588" min="3588" style="0" width="13.82"/>
    <col collapsed="false" customWidth="true" hidden="false" outlineLevel="0" max="3591" min="3589" style="0" width="11.45"/>
    <col collapsed="false" customWidth="true" hidden="false" outlineLevel="0" max="3592" min="3592" style="0" width="16.73"/>
    <col collapsed="false" customWidth="true" hidden="false" outlineLevel="0" max="3600" min="3593" style="0" width="11.45"/>
    <col collapsed="false" customWidth="true" hidden="false" outlineLevel="0" max="3601" min="3601" style="0" width="19"/>
    <col collapsed="false" customWidth="true" hidden="false" outlineLevel="0" max="3603" min="3602" style="0" width="11.45"/>
    <col collapsed="false" customWidth="true" hidden="false" outlineLevel="0" max="3604" min="3604" style="0" width="17.18"/>
    <col collapsed="false" customWidth="true" hidden="false" outlineLevel="0" max="3608" min="3605" style="0" width="11.45"/>
    <col collapsed="false" customWidth="true" hidden="false" outlineLevel="0" max="3609" min="3609" style="0" width="14.18"/>
    <col collapsed="false" customWidth="true" hidden="false" outlineLevel="0" max="3617" min="3610" style="0" width="11.45"/>
    <col collapsed="false" customWidth="true" hidden="false" outlineLevel="0" max="3618" min="3618" style="0" width="25"/>
    <col collapsed="false" customWidth="true" hidden="false" outlineLevel="0" max="3621" min="3619" style="0" width="10.73"/>
    <col collapsed="false" customWidth="true" hidden="false" outlineLevel="0" max="3628" min="3622" style="0" width="11.45"/>
    <col collapsed="false" customWidth="true" hidden="false" outlineLevel="0" max="3637" min="3629" style="0" width="10.73"/>
    <col collapsed="false" customWidth="true" hidden="false" outlineLevel="0" max="3841" min="3841" style="0" width="15.54"/>
    <col collapsed="false" customWidth="true" hidden="false" outlineLevel="0" max="3842" min="3842" style="0" width="10.73"/>
    <col collapsed="false" customWidth="true" hidden="false" outlineLevel="0" max="3843" min="3843" style="0" width="34.27"/>
    <col collapsed="false" customWidth="true" hidden="false" outlineLevel="0" max="3844" min="3844" style="0" width="13.82"/>
    <col collapsed="false" customWidth="true" hidden="false" outlineLevel="0" max="3847" min="3845" style="0" width="11.45"/>
    <col collapsed="false" customWidth="true" hidden="false" outlineLevel="0" max="3848" min="3848" style="0" width="16.73"/>
    <col collapsed="false" customWidth="true" hidden="false" outlineLevel="0" max="3856" min="3849" style="0" width="11.45"/>
    <col collapsed="false" customWidth="true" hidden="false" outlineLevel="0" max="3857" min="3857" style="0" width="19"/>
    <col collapsed="false" customWidth="true" hidden="false" outlineLevel="0" max="3859" min="3858" style="0" width="11.45"/>
    <col collapsed="false" customWidth="true" hidden="false" outlineLevel="0" max="3860" min="3860" style="0" width="17.18"/>
    <col collapsed="false" customWidth="true" hidden="false" outlineLevel="0" max="3864" min="3861" style="0" width="11.45"/>
    <col collapsed="false" customWidth="true" hidden="false" outlineLevel="0" max="3865" min="3865" style="0" width="14.18"/>
    <col collapsed="false" customWidth="true" hidden="false" outlineLevel="0" max="3873" min="3866" style="0" width="11.45"/>
    <col collapsed="false" customWidth="true" hidden="false" outlineLevel="0" max="3874" min="3874" style="0" width="25"/>
    <col collapsed="false" customWidth="true" hidden="false" outlineLevel="0" max="3877" min="3875" style="0" width="10.73"/>
    <col collapsed="false" customWidth="true" hidden="false" outlineLevel="0" max="3884" min="3878" style="0" width="11.45"/>
    <col collapsed="false" customWidth="true" hidden="false" outlineLevel="0" max="3893" min="3885" style="0" width="10.73"/>
    <col collapsed="false" customWidth="true" hidden="false" outlineLevel="0" max="4097" min="4097" style="0" width="15.54"/>
    <col collapsed="false" customWidth="true" hidden="false" outlineLevel="0" max="4098" min="4098" style="0" width="10.73"/>
    <col collapsed="false" customWidth="true" hidden="false" outlineLevel="0" max="4099" min="4099" style="0" width="34.27"/>
    <col collapsed="false" customWidth="true" hidden="false" outlineLevel="0" max="4100" min="4100" style="0" width="13.82"/>
    <col collapsed="false" customWidth="true" hidden="false" outlineLevel="0" max="4103" min="4101" style="0" width="11.45"/>
    <col collapsed="false" customWidth="true" hidden="false" outlineLevel="0" max="4104" min="4104" style="0" width="16.73"/>
    <col collapsed="false" customWidth="true" hidden="false" outlineLevel="0" max="4112" min="4105" style="0" width="11.45"/>
    <col collapsed="false" customWidth="true" hidden="false" outlineLevel="0" max="4113" min="4113" style="0" width="19"/>
    <col collapsed="false" customWidth="true" hidden="false" outlineLevel="0" max="4115" min="4114" style="0" width="11.45"/>
    <col collapsed="false" customWidth="true" hidden="false" outlineLevel="0" max="4116" min="4116" style="0" width="17.18"/>
    <col collapsed="false" customWidth="true" hidden="false" outlineLevel="0" max="4120" min="4117" style="0" width="11.45"/>
    <col collapsed="false" customWidth="true" hidden="false" outlineLevel="0" max="4121" min="4121" style="0" width="14.18"/>
    <col collapsed="false" customWidth="true" hidden="false" outlineLevel="0" max="4129" min="4122" style="0" width="11.45"/>
    <col collapsed="false" customWidth="true" hidden="false" outlineLevel="0" max="4130" min="4130" style="0" width="25"/>
    <col collapsed="false" customWidth="true" hidden="false" outlineLevel="0" max="4133" min="4131" style="0" width="10.73"/>
    <col collapsed="false" customWidth="true" hidden="false" outlineLevel="0" max="4140" min="4134" style="0" width="11.45"/>
    <col collapsed="false" customWidth="true" hidden="false" outlineLevel="0" max="4149" min="4141" style="0" width="10.73"/>
    <col collapsed="false" customWidth="true" hidden="false" outlineLevel="0" max="4353" min="4353" style="0" width="15.54"/>
    <col collapsed="false" customWidth="true" hidden="false" outlineLevel="0" max="4354" min="4354" style="0" width="10.73"/>
    <col collapsed="false" customWidth="true" hidden="false" outlineLevel="0" max="4355" min="4355" style="0" width="34.27"/>
    <col collapsed="false" customWidth="true" hidden="false" outlineLevel="0" max="4356" min="4356" style="0" width="13.82"/>
    <col collapsed="false" customWidth="true" hidden="false" outlineLevel="0" max="4359" min="4357" style="0" width="11.45"/>
    <col collapsed="false" customWidth="true" hidden="false" outlineLevel="0" max="4360" min="4360" style="0" width="16.73"/>
    <col collapsed="false" customWidth="true" hidden="false" outlineLevel="0" max="4368" min="4361" style="0" width="11.45"/>
    <col collapsed="false" customWidth="true" hidden="false" outlineLevel="0" max="4369" min="4369" style="0" width="19"/>
    <col collapsed="false" customWidth="true" hidden="false" outlineLevel="0" max="4371" min="4370" style="0" width="11.45"/>
    <col collapsed="false" customWidth="true" hidden="false" outlineLevel="0" max="4372" min="4372" style="0" width="17.18"/>
    <col collapsed="false" customWidth="true" hidden="false" outlineLevel="0" max="4376" min="4373" style="0" width="11.45"/>
    <col collapsed="false" customWidth="true" hidden="false" outlineLevel="0" max="4377" min="4377" style="0" width="14.18"/>
    <col collapsed="false" customWidth="true" hidden="false" outlineLevel="0" max="4385" min="4378" style="0" width="11.45"/>
    <col collapsed="false" customWidth="true" hidden="false" outlineLevel="0" max="4386" min="4386" style="0" width="25"/>
    <col collapsed="false" customWidth="true" hidden="false" outlineLevel="0" max="4389" min="4387" style="0" width="10.73"/>
    <col collapsed="false" customWidth="true" hidden="false" outlineLevel="0" max="4396" min="4390" style="0" width="11.45"/>
    <col collapsed="false" customWidth="true" hidden="false" outlineLevel="0" max="4405" min="4397" style="0" width="10.73"/>
    <col collapsed="false" customWidth="true" hidden="false" outlineLevel="0" max="4609" min="4609" style="0" width="15.54"/>
    <col collapsed="false" customWidth="true" hidden="false" outlineLevel="0" max="4610" min="4610" style="0" width="10.73"/>
    <col collapsed="false" customWidth="true" hidden="false" outlineLevel="0" max="4611" min="4611" style="0" width="34.27"/>
    <col collapsed="false" customWidth="true" hidden="false" outlineLevel="0" max="4612" min="4612" style="0" width="13.82"/>
    <col collapsed="false" customWidth="true" hidden="false" outlineLevel="0" max="4615" min="4613" style="0" width="11.45"/>
    <col collapsed="false" customWidth="true" hidden="false" outlineLevel="0" max="4616" min="4616" style="0" width="16.73"/>
    <col collapsed="false" customWidth="true" hidden="false" outlineLevel="0" max="4624" min="4617" style="0" width="11.45"/>
    <col collapsed="false" customWidth="true" hidden="false" outlineLevel="0" max="4625" min="4625" style="0" width="19"/>
    <col collapsed="false" customWidth="true" hidden="false" outlineLevel="0" max="4627" min="4626" style="0" width="11.45"/>
    <col collapsed="false" customWidth="true" hidden="false" outlineLevel="0" max="4628" min="4628" style="0" width="17.18"/>
    <col collapsed="false" customWidth="true" hidden="false" outlineLevel="0" max="4632" min="4629" style="0" width="11.45"/>
    <col collapsed="false" customWidth="true" hidden="false" outlineLevel="0" max="4633" min="4633" style="0" width="14.18"/>
    <col collapsed="false" customWidth="true" hidden="false" outlineLevel="0" max="4641" min="4634" style="0" width="11.45"/>
    <col collapsed="false" customWidth="true" hidden="false" outlineLevel="0" max="4642" min="4642" style="0" width="25"/>
    <col collapsed="false" customWidth="true" hidden="false" outlineLevel="0" max="4645" min="4643" style="0" width="10.73"/>
    <col collapsed="false" customWidth="true" hidden="false" outlineLevel="0" max="4652" min="4646" style="0" width="11.45"/>
    <col collapsed="false" customWidth="true" hidden="false" outlineLevel="0" max="4661" min="4653" style="0" width="10.73"/>
    <col collapsed="false" customWidth="true" hidden="false" outlineLevel="0" max="4865" min="4865" style="0" width="15.54"/>
    <col collapsed="false" customWidth="true" hidden="false" outlineLevel="0" max="4866" min="4866" style="0" width="10.73"/>
    <col collapsed="false" customWidth="true" hidden="false" outlineLevel="0" max="4867" min="4867" style="0" width="34.27"/>
    <col collapsed="false" customWidth="true" hidden="false" outlineLevel="0" max="4868" min="4868" style="0" width="13.82"/>
    <col collapsed="false" customWidth="true" hidden="false" outlineLevel="0" max="4871" min="4869" style="0" width="11.45"/>
    <col collapsed="false" customWidth="true" hidden="false" outlineLevel="0" max="4872" min="4872" style="0" width="16.73"/>
    <col collapsed="false" customWidth="true" hidden="false" outlineLevel="0" max="4880" min="4873" style="0" width="11.45"/>
    <col collapsed="false" customWidth="true" hidden="false" outlineLevel="0" max="4881" min="4881" style="0" width="19"/>
    <col collapsed="false" customWidth="true" hidden="false" outlineLevel="0" max="4883" min="4882" style="0" width="11.45"/>
    <col collapsed="false" customWidth="true" hidden="false" outlineLevel="0" max="4884" min="4884" style="0" width="17.18"/>
    <col collapsed="false" customWidth="true" hidden="false" outlineLevel="0" max="4888" min="4885" style="0" width="11.45"/>
    <col collapsed="false" customWidth="true" hidden="false" outlineLevel="0" max="4889" min="4889" style="0" width="14.18"/>
    <col collapsed="false" customWidth="true" hidden="false" outlineLevel="0" max="4897" min="4890" style="0" width="11.45"/>
    <col collapsed="false" customWidth="true" hidden="false" outlineLevel="0" max="4898" min="4898" style="0" width="25"/>
    <col collapsed="false" customWidth="true" hidden="false" outlineLevel="0" max="4901" min="4899" style="0" width="10.73"/>
    <col collapsed="false" customWidth="true" hidden="false" outlineLevel="0" max="4908" min="4902" style="0" width="11.45"/>
    <col collapsed="false" customWidth="true" hidden="false" outlineLevel="0" max="4917" min="4909" style="0" width="10.73"/>
    <col collapsed="false" customWidth="true" hidden="false" outlineLevel="0" max="5121" min="5121" style="0" width="15.54"/>
    <col collapsed="false" customWidth="true" hidden="false" outlineLevel="0" max="5122" min="5122" style="0" width="10.73"/>
    <col collapsed="false" customWidth="true" hidden="false" outlineLevel="0" max="5123" min="5123" style="0" width="34.27"/>
    <col collapsed="false" customWidth="true" hidden="false" outlineLevel="0" max="5124" min="5124" style="0" width="13.82"/>
    <col collapsed="false" customWidth="true" hidden="false" outlineLevel="0" max="5127" min="5125" style="0" width="11.45"/>
    <col collapsed="false" customWidth="true" hidden="false" outlineLevel="0" max="5128" min="5128" style="0" width="16.73"/>
    <col collapsed="false" customWidth="true" hidden="false" outlineLevel="0" max="5136" min="5129" style="0" width="11.45"/>
    <col collapsed="false" customWidth="true" hidden="false" outlineLevel="0" max="5137" min="5137" style="0" width="19"/>
    <col collapsed="false" customWidth="true" hidden="false" outlineLevel="0" max="5139" min="5138" style="0" width="11.45"/>
    <col collapsed="false" customWidth="true" hidden="false" outlineLevel="0" max="5140" min="5140" style="0" width="17.18"/>
    <col collapsed="false" customWidth="true" hidden="false" outlineLevel="0" max="5144" min="5141" style="0" width="11.45"/>
    <col collapsed="false" customWidth="true" hidden="false" outlineLevel="0" max="5145" min="5145" style="0" width="14.18"/>
    <col collapsed="false" customWidth="true" hidden="false" outlineLevel="0" max="5153" min="5146" style="0" width="11.45"/>
    <col collapsed="false" customWidth="true" hidden="false" outlineLevel="0" max="5154" min="5154" style="0" width="25"/>
    <col collapsed="false" customWidth="true" hidden="false" outlineLevel="0" max="5157" min="5155" style="0" width="10.73"/>
    <col collapsed="false" customWidth="true" hidden="false" outlineLevel="0" max="5164" min="5158" style="0" width="11.45"/>
    <col collapsed="false" customWidth="true" hidden="false" outlineLevel="0" max="5173" min="5165" style="0" width="10.73"/>
    <col collapsed="false" customWidth="true" hidden="false" outlineLevel="0" max="5377" min="5377" style="0" width="15.54"/>
    <col collapsed="false" customWidth="true" hidden="false" outlineLevel="0" max="5378" min="5378" style="0" width="10.73"/>
    <col collapsed="false" customWidth="true" hidden="false" outlineLevel="0" max="5379" min="5379" style="0" width="34.27"/>
    <col collapsed="false" customWidth="true" hidden="false" outlineLevel="0" max="5380" min="5380" style="0" width="13.82"/>
    <col collapsed="false" customWidth="true" hidden="false" outlineLevel="0" max="5383" min="5381" style="0" width="11.45"/>
    <col collapsed="false" customWidth="true" hidden="false" outlineLevel="0" max="5384" min="5384" style="0" width="16.73"/>
    <col collapsed="false" customWidth="true" hidden="false" outlineLevel="0" max="5392" min="5385" style="0" width="11.45"/>
    <col collapsed="false" customWidth="true" hidden="false" outlineLevel="0" max="5393" min="5393" style="0" width="19"/>
    <col collapsed="false" customWidth="true" hidden="false" outlineLevel="0" max="5395" min="5394" style="0" width="11.45"/>
    <col collapsed="false" customWidth="true" hidden="false" outlineLevel="0" max="5396" min="5396" style="0" width="17.18"/>
    <col collapsed="false" customWidth="true" hidden="false" outlineLevel="0" max="5400" min="5397" style="0" width="11.45"/>
    <col collapsed="false" customWidth="true" hidden="false" outlineLevel="0" max="5401" min="5401" style="0" width="14.18"/>
    <col collapsed="false" customWidth="true" hidden="false" outlineLevel="0" max="5409" min="5402" style="0" width="11.45"/>
    <col collapsed="false" customWidth="true" hidden="false" outlineLevel="0" max="5410" min="5410" style="0" width="25"/>
    <col collapsed="false" customWidth="true" hidden="false" outlineLevel="0" max="5413" min="5411" style="0" width="10.73"/>
    <col collapsed="false" customWidth="true" hidden="false" outlineLevel="0" max="5420" min="5414" style="0" width="11.45"/>
    <col collapsed="false" customWidth="true" hidden="false" outlineLevel="0" max="5429" min="5421" style="0" width="10.73"/>
    <col collapsed="false" customWidth="true" hidden="false" outlineLevel="0" max="5633" min="5633" style="0" width="15.54"/>
    <col collapsed="false" customWidth="true" hidden="false" outlineLevel="0" max="5634" min="5634" style="0" width="10.73"/>
    <col collapsed="false" customWidth="true" hidden="false" outlineLevel="0" max="5635" min="5635" style="0" width="34.27"/>
    <col collapsed="false" customWidth="true" hidden="false" outlineLevel="0" max="5636" min="5636" style="0" width="13.82"/>
    <col collapsed="false" customWidth="true" hidden="false" outlineLevel="0" max="5639" min="5637" style="0" width="11.45"/>
    <col collapsed="false" customWidth="true" hidden="false" outlineLevel="0" max="5640" min="5640" style="0" width="16.73"/>
    <col collapsed="false" customWidth="true" hidden="false" outlineLevel="0" max="5648" min="5641" style="0" width="11.45"/>
    <col collapsed="false" customWidth="true" hidden="false" outlineLevel="0" max="5649" min="5649" style="0" width="19"/>
    <col collapsed="false" customWidth="true" hidden="false" outlineLevel="0" max="5651" min="5650" style="0" width="11.45"/>
    <col collapsed="false" customWidth="true" hidden="false" outlineLevel="0" max="5652" min="5652" style="0" width="17.18"/>
    <col collapsed="false" customWidth="true" hidden="false" outlineLevel="0" max="5656" min="5653" style="0" width="11.45"/>
    <col collapsed="false" customWidth="true" hidden="false" outlineLevel="0" max="5657" min="5657" style="0" width="14.18"/>
    <col collapsed="false" customWidth="true" hidden="false" outlineLevel="0" max="5665" min="5658" style="0" width="11.45"/>
    <col collapsed="false" customWidth="true" hidden="false" outlineLevel="0" max="5666" min="5666" style="0" width="25"/>
    <col collapsed="false" customWidth="true" hidden="false" outlineLevel="0" max="5669" min="5667" style="0" width="10.73"/>
    <col collapsed="false" customWidth="true" hidden="false" outlineLevel="0" max="5676" min="5670" style="0" width="11.45"/>
    <col collapsed="false" customWidth="true" hidden="false" outlineLevel="0" max="5685" min="5677" style="0" width="10.73"/>
    <col collapsed="false" customWidth="true" hidden="false" outlineLevel="0" max="5889" min="5889" style="0" width="15.54"/>
    <col collapsed="false" customWidth="true" hidden="false" outlineLevel="0" max="5890" min="5890" style="0" width="10.73"/>
    <col collapsed="false" customWidth="true" hidden="false" outlineLevel="0" max="5891" min="5891" style="0" width="34.27"/>
    <col collapsed="false" customWidth="true" hidden="false" outlineLevel="0" max="5892" min="5892" style="0" width="13.82"/>
    <col collapsed="false" customWidth="true" hidden="false" outlineLevel="0" max="5895" min="5893" style="0" width="11.45"/>
    <col collapsed="false" customWidth="true" hidden="false" outlineLevel="0" max="5896" min="5896" style="0" width="16.73"/>
    <col collapsed="false" customWidth="true" hidden="false" outlineLevel="0" max="5904" min="5897" style="0" width="11.45"/>
    <col collapsed="false" customWidth="true" hidden="false" outlineLevel="0" max="5905" min="5905" style="0" width="19"/>
    <col collapsed="false" customWidth="true" hidden="false" outlineLevel="0" max="5907" min="5906" style="0" width="11.45"/>
    <col collapsed="false" customWidth="true" hidden="false" outlineLevel="0" max="5908" min="5908" style="0" width="17.18"/>
    <col collapsed="false" customWidth="true" hidden="false" outlineLevel="0" max="5912" min="5909" style="0" width="11.45"/>
    <col collapsed="false" customWidth="true" hidden="false" outlineLevel="0" max="5913" min="5913" style="0" width="14.18"/>
    <col collapsed="false" customWidth="true" hidden="false" outlineLevel="0" max="5921" min="5914" style="0" width="11.45"/>
    <col collapsed="false" customWidth="true" hidden="false" outlineLevel="0" max="5922" min="5922" style="0" width="25"/>
    <col collapsed="false" customWidth="true" hidden="false" outlineLevel="0" max="5925" min="5923" style="0" width="10.73"/>
    <col collapsed="false" customWidth="true" hidden="false" outlineLevel="0" max="5932" min="5926" style="0" width="11.45"/>
    <col collapsed="false" customWidth="true" hidden="false" outlineLevel="0" max="5941" min="5933" style="0" width="10.73"/>
    <col collapsed="false" customWidth="true" hidden="false" outlineLevel="0" max="6145" min="6145" style="0" width="15.54"/>
    <col collapsed="false" customWidth="true" hidden="false" outlineLevel="0" max="6146" min="6146" style="0" width="10.73"/>
    <col collapsed="false" customWidth="true" hidden="false" outlineLevel="0" max="6147" min="6147" style="0" width="34.27"/>
    <col collapsed="false" customWidth="true" hidden="false" outlineLevel="0" max="6148" min="6148" style="0" width="13.82"/>
    <col collapsed="false" customWidth="true" hidden="false" outlineLevel="0" max="6151" min="6149" style="0" width="11.45"/>
    <col collapsed="false" customWidth="true" hidden="false" outlineLevel="0" max="6152" min="6152" style="0" width="16.73"/>
    <col collapsed="false" customWidth="true" hidden="false" outlineLevel="0" max="6160" min="6153" style="0" width="11.45"/>
    <col collapsed="false" customWidth="true" hidden="false" outlineLevel="0" max="6161" min="6161" style="0" width="19"/>
    <col collapsed="false" customWidth="true" hidden="false" outlineLevel="0" max="6163" min="6162" style="0" width="11.45"/>
    <col collapsed="false" customWidth="true" hidden="false" outlineLevel="0" max="6164" min="6164" style="0" width="17.18"/>
    <col collapsed="false" customWidth="true" hidden="false" outlineLevel="0" max="6168" min="6165" style="0" width="11.45"/>
    <col collapsed="false" customWidth="true" hidden="false" outlineLevel="0" max="6169" min="6169" style="0" width="14.18"/>
    <col collapsed="false" customWidth="true" hidden="false" outlineLevel="0" max="6177" min="6170" style="0" width="11.45"/>
    <col collapsed="false" customWidth="true" hidden="false" outlineLevel="0" max="6178" min="6178" style="0" width="25"/>
    <col collapsed="false" customWidth="true" hidden="false" outlineLevel="0" max="6181" min="6179" style="0" width="10.73"/>
    <col collapsed="false" customWidth="true" hidden="false" outlineLevel="0" max="6188" min="6182" style="0" width="11.45"/>
    <col collapsed="false" customWidth="true" hidden="false" outlineLevel="0" max="6197" min="6189" style="0" width="10.73"/>
    <col collapsed="false" customWidth="true" hidden="false" outlineLevel="0" max="6401" min="6401" style="0" width="15.54"/>
    <col collapsed="false" customWidth="true" hidden="false" outlineLevel="0" max="6402" min="6402" style="0" width="10.73"/>
    <col collapsed="false" customWidth="true" hidden="false" outlineLevel="0" max="6403" min="6403" style="0" width="34.27"/>
    <col collapsed="false" customWidth="true" hidden="false" outlineLevel="0" max="6404" min="6404" style="0" width="13.82"/>
    <col collapsed="false" customWidth="true" hidden="false" outlineLevel="0" max="6407" min="6405" style="0" width="11.45"/>
    <col collapsed="false" customWidth="true" hidden="false" outlineLevel="0" max="6408" min="6408" style="0" width="16.73"/>
    <col collapsed="false" customWidth="true" hidden="false" outlineLevel="0" max="6416" min="6409" style="0" width="11.45"/>
    <col collapsed="false" customWidth="true" hidden="false" outlineLevel="0" max="6417" min="6417" style="0" width="19"/>
    <col collapsed="false" customWidth="true" hidden="false" outlineLevel="0" max="6419" min="6418" style="0" width="11.45"/>
    <col collapsed="false" customWidth="true" hidden="false" outlineLevel="0" max="6420" min="6420" style="0" width="17.18"/>
    <col collapsed="false" customWidth="true" hidden="false" outlineLevel="0" max="6424" min="6421" style="0" width="11.45"/>
    <col collapsed="false" customWidth="true" hidden="false" outlineLevel="0" max="6425" min="6425" style="0" width="14.18"/>
    <col collapsed="false" customWidth="true" hidden="false" outlineLevel="0" max="6433" min="6426" style="0" width="11.45"/>
    <col collapsed="false" customWidth="true" hidden="false" outlineLevel="0" max="6434" min="6434" style="0" width="25"/>
    <col collapsed="false" customWidth="true" hidden="false" outlineLevel="0" max="6437" min="6435" style="0" width="10.73"/>
    <col collapsed="false" customWidth="true" hidden="false" outlineLevel="0" max="6444" min="6438" style="0" width="11.45"/>
    <col collapsed="false" customWidth="true" hidden="false" outlineLevel="0" max="6453" min="6445" style="0" width="10.73"/>
    <col collapsed="false" customWidth="true" hidden="false" outlineLevel="0" max="6657" min="6657" style="0" width="15.54"/>
    <col collapsed="false" customWidth="true" hidden="false" outlineLevel="0" max="6658" min="6658" style="0" width="10.73"/>
    <col collapsed="false" customWidth="true" hidden="false" outlineLevel="0" max="6659" min="6659" style="0" width="34.27"/>
    <col collapsed="false" customWidth="true" hidden="false" outlineLevel="0" max="6660" min="6660" style="0" width="13.82"/>
    <col collapsed="false" customWidth="true" hidden="false" outlineLevel="0" max="6663" min="6661" style="0" width="11.45"/>
    <col collapsed="false" customWidth="true" hidden="false" outlineLevel="0" max="6664" min="6664" style="0" width="16.73"/>
    <col collapsed="false" customWidth="true" hidden="false" outlineLevel="0" max="6672" min="6665" style="0" width="11.45"/>
    <col collapsed="false" customWidth="true" hidden="false" outlineLevel="0" max="6673" min="6673" style="0" width="19"/>
    <col collapsed="false" customWidth="true" hidden="false" outlineLevel="0" max="6675" min="6674" style="0" width="11.45"/>
    <col collapsed="false" customWidth="true" hidden="false" outlineLevel="0" max="6676" min="6676" style="0" width="17.18"/>
    <col collapsed="false" customWidth="true" hidden="false" outlineLevel="0" max="6680" min="6677" style="0" width="11.45"/>
    <col collapsed="false" customWidth="true" hidden="false" outlineLevel="0" max="6681" min="6681" style="0" width="14.18"/>
    <col collapsed="false" customWidth="true" hidden="false" outlineLevel="0" max="6689" min="6682" style="0" width="11.45"/>
    <col collapsed="false" customWidth="true" hidden="false" outlineLevel="0" max="6690" min="6690" style="0" width="25"/>
    <col collapsed="false" customWidth="true" hidden="false" outlineLevel="0" max="6693" min="6691" style="0" width="10.73"/>
    <col collapsed="false" customWidth="true" hidden="false" outlineLevel="0" max="6700" min="6694" style="0" width="11.45"/>
    <col collapsed="false" customWidth="true" hidden="false" outlineLevel="0" max="6709" min="6701" style="0" width="10.73"/>
    <col collapsed="false" customWidth="true" hidden="false" outlineLevel="0" max="6913" min="6913" style="0" width="15.54"/>
    <col collapsed="false" customWidth="true" hidden="false" outlineLevel="0" max="6914" min="6914" style="0" width="10.73"/>
    <col collapsed="false" customWidth="true" hidden="false" outlineLevel="0" max="6915" min="6915" style="0" width="34.27"/>
    <col collapsed="false" customWidth="true" hidden="false" outlineLevel="0" max="6916" min="6916" style="0" width="13.82"/>
    <col collapsed="false" customWidth="true" hidden="false" outlineLevel="0" max="6919" min="6917" style="0" width="11.45"/>
    <col collapsed="false" customWidth="true" hidden="false" outlineLevel="0" max="6920" min="6920" style="0" width="16.73"/>
    <col collapsed="false" customWidth="true" hidden="false" outlineLevel="0" max="6928" min="6921" style="0" width="11.45"/>
    <col collapsed="false" customWidth="true" hidden="false" outlineLevel="0" max="6929" min="6929" style="0" width="19"/>
    <col collapsed="false" customWidth="true" hidden="false" outlineLevel="0" max="6931" min="6930" style="0" width="11.45"/>
    <col collapsed="false" customWidth="true" hidden="false" outlineLevel="0" max="6932" min="6932" style="0" width="17.18"/>
    <col collapsed="false" customWidth="true" hidden="false" outlineLevel="0" max="6936" min="6933" style="0" width="11.45"/>
    <col collapsed="false" customWidth="true" hidden="false" outlineLevel="0" max="6937" min="6937" style="0" width="14.18"/>
    <col collapsed="false" customWidth="true" hidden="false" outlineLevel="0" max="6945" min="6938" style="0" width="11.45"/>
    <col collapsed="false" customWidth="true" hidden="false" outlineLevel="0" max="6946" min="6946" style="0" width="25"/>
    <col collapsed="false" customWidth="true" hidden="false" outlineLevel="0" max="6949" min="6947" style="0" width="10.73"/>
    <col collapsed="false" customWidth="true" hidden="false" outlineLevel="0" max="6956" min="6950" style="0" width="11.45"/>
    <col collapsed="false" customWidth="true" hidden="false" outlineLevel="0" max="6965" min="6957" style="0" width="10.73"/>
    <col collapsed="false" customWidth="true" hidden="false" outlineLevel="0" max="7169" min="7169" style="0" width="15.54"/>
    <col collapsed="false" customWidth="true" hidden="false" outlineLevel="0" max="7170" min="7170" style="0" width="10.73"/>
    <col collapsed="false" customWidth="true" hidden="false" outlineLevel="0" max="7171" min="7171" style="0" width="34.27"/>
    <col collapsed="false" customWidth="true" hidden="false" outlineLevel="0" max="7172" min="7172" style="0" width="13.82"/>
    <col collapsed="false" customWidth="true" hidden="false" outlineLevel="0" max="7175" min="7173" style="0" width="11.45"/>
    <col collapsed="false" customWidth="true" hidden="false" outlineLevel="0" max="7176" min="7176" style="0" width="16.73"/>
    <col collapsed="false" customWidth="true" hidden="false" outlineLevel="0" max="7184" min="7177" style="0" width="11.45"/>
    <col collapsed="false" customWidth="true" hidden="false" outlineLevel="0" max="7185" min="7185" style="0" width="19"/>
    <col collapsed="false" customWidth="true" hidden="false" outlineLevel="0" max="7187" min="7186" style="0" width="11.45"/>
    <col collapsed="false" customWidth="true" hidden="false" outlineLevel="0" max="7188" min="7188" style="0" width="17.18"/>
    <col collapsed="false" customWidth="true" hidden="false" outlineLevel="0" max="7192" min="7189" style="0" width="11.45"/>
    <col collapsed="false" customWidth="true" hidden="false" outlineLevel="0" max="7193" min="7193" style="0" width="14.18"/>
    <col collapsed="false" customWidth="true" hidden="false" outlineLevel="0" max="7201" min="7194" style="0" width="11.45"/>
    <col collapsed="false" customWidth="true" hidden="false" outlineLevel="0" max="7202" min="7202" style="0" width="25"/>
    <col collapsed="false" customWidth="true" hidden="false" outlineLevel="0" max="7205" min="7203" style="0" width="10.73"/>
    <col collapsed="false" customWidth="true" hidden="false" outlineLevel="0" max="7212" min="7206" style="0" width="11.45"/>
    <col collapsed="false" customWidth="true" hidden="false" outlineLevel="0" max="7221" min="7213" style="0" width="10.73"/>
    <col collapsed="false" customWidth="true" hidden="false" outlineLevel="0" max="7425" min="7425" style="0" width="15.54"/>
    <col collapsed="false" customWidth="true" hidden="false" outlineLevel="0" max="7426" min="7426" style="0" width="10.73"/>
    <col collapsed="false" customWidth="true" hidden="false" outlineLevel="0" max="7427" min="7427" style="0" width="34.27"/>
    <col collapsed="false" customWidth="true" hidden="false" outlineLevel="0" max="7428" min="7428" style="0" width="13.82"/>
    <col collapsed="false" customWidth="true" hidden="false" outlineLevel="0" max="7431" min="7429" style="0" width="11.45"/>
    <col collapsed="false" customWidth="true" hidden="false" outlineLevel="0" max="7432" min="7432" style="0" width="16.73"/>
    <col collapsed="false" customWidth="true" hidden="false" outlineLevel="0" max="7440" min="7433" style="0" width="11.45"/>
    <col collapsed="false" customWidth="true" hidden="false" outlineLevel="0" max="7441" min="7441" style="0" width="19"/>
    <col collapsed="false" customWidth="true" hidden="false" outlineLevel="0" max="7443" min="7442" style="0" width="11.45"/>
    <col collapsed="false" customWidth="true" hidden="false" outlineLevel="0" max="7444" min="7444" style="0" width="17.18"/>
    <col collapsed="false" customWidth="true" hidden="false" outlineLevel="0" max="7448" min="7445" style="0" width="11.45"/>
    <col collapsed="false" customWidth="true" hidden="false" outlineLevel="0" max="7449" min="7449" style="0" width="14.18"/>
    <col collapsed="false" customWidth="true" hidden="false" outlineLevel="0" max="7457" min="7450" style="0" width="11.45"/>
    <col collapsed="false" customWidth="true" hidden="false" outlineLevel="0" max="7458" min="7458" style="0" width="25"/>
    <col collapsed="false" customWidth="true" hidden="false" outlineLevel="0" max="7461" min="7459" style="0" width="10.73"/>
    <col collapsed="false" customWidth="true" hidden="false" outlineLevel="0" max="7468" min="7462" style="0" width="11.45"/>
    <col collapsed="false" customWidth="true" hidden="false" outlineLevel="0" max="7477" min="7469" style="0" width="10.73"/>
    <col collapsed="false" customWidth="true" hidden="false" outlineLevel="0" max="7681" min="7681" style="0" width="15.54"/>
    <col collapsed="false" customWidth="true" hidden="false" outlineLevel="0" max="7682" min="7682" style="0" width="10.73"/>
    <col collapsed="false" customWidth="true" hidden="false" outlineLevel="0" max="7683" min="7683" style="0" width="34.27"/>
    <col collapsed="false" customWidth="true" hidden="false" outlineLevel="0" max="7684" min="7684" style="0" width="13.82"/>
    <col collapsed="false" customWidth="true" hidden="false" outlineLevel="0" max="7687" min="7685" style="0" width="11.45"/>
    <col collapsed="false" customWidth="true" hidden="false" outlineLevel="0" max="7688" min="7688" style="0" width="16.73"/>
    <col collapsed="false" customWidth="true" hidden="false" outlineLevel="0" max="7696" min="7689" style="0" width="11.45"/>
    <col collapsed="false" customWidth="true" hidden="false" outlineLevel="0" max="7697" min="7697" style="0" width="19"/>
    <col collapsed="false" customWidth="true" hidden="false" outlineLevel="0" max="7699" min="7698" style="0" width="11.45"/>
    <col collapsed="false" customWidth="true" hidden="false" outlineLevel="0" max="7700" min="7700" style="0" width="17.18"/>
    <col collapsed="false" customWidth="true" hidden="false" outlineLevel="0" max="7704" min="7701" style="0" width="11.45"/>
    <col collapsed="false" customWidth="true" hidden="false" outlineLevel="0" max="7705" min="7705" style="0" width="14.18"/>
    <col collapsed="false" customWidth="true" hidden="false" outlineLevel="0" max="7713" min="7706" style="0" width="11.45"/>
    <col collapsed="false" customWidth="true" hidden="false" outlineLevel="0" max="7714" min="7714" style="0" width="25"/>
    <col collapsed="false" customWidth="true" hidden="false" outlineLevel="0" max="7717" min="7715" style="0" width="10.73"/>
    <col collapsed="false" customWidth="true" hidden="false" outlineLevel="0" max="7724" min="7718" style="0" width="11.45"/>
    <col collapsed="false" customWidth="true" hidden="false" outlineLevel="0" max="7733" min="7725" style="0" width="10.73"/>
    <col collapsed="false" customWidth="true" hidden="false" outlineLevel="0" max="7937" min="7937" style="0" width="15.54"/>
    <col collapsed="false" customWidth="true" hidden="false" outlineLevel="0" max="7938" min="7938" style="0" width="10.73"/>
    <col collapsed="false" customWidth="true" hidden="false" outlineLevel="0" max="7939" min="7939" style="0" width="34.27"/>
    <col collapsed="false" customWidth="true" hidden="false" outlineLevel="0" max="7940" min="7940" style="0" width="13.82"/>
    <col collapsed="false" customWidth="true" hidden="false" outlineLevel="0" max="7943" min="7941" style="0" width="11.45"/>
    <col collapsed="false" customWidth="true" hidden="false" outlineLevel="0" max="7944" min="7944" style="0" width="16.73"/>
    <col collapsed="false" customWidth="true" hidden="false" outlineLevel="0" max="7952" min="7945" style="0" width="11.45"/>
    <col collapsed="false" customWidth="true" hidden="false" outlineLevel="0" max="7953" min="7953" style="0" width="19"/>
    <col collapsed="false" customWidth="true" hidden="false" outlineLevel="0" max="7955" min="7954" style="0" width="11.45"/>
    <col collapsed="false" customWidth="true" hidden="false" outlineLevel="0" max="7956" min="7956" style="0" width="17.18"/>
    <col collapsed="false" customWidth="true" hidden="false" outlineLevel="0" max="7960" min="7957" style="0" width="11.45"/>
    <col collapsed="false" customWidth="true" hidden="false" outlineLevel="0" max="7961" min="7961" style="0" width="14.18"/>
    <col collapsed="false" customWidth="true" hidden="false" outlineLevel="0" max="7969" min="7962" style="0" width="11.45"/>
    <col collapsed="false" customWidth="true" hidden="false" outlineLevel="0" max="7970" min="7970" style="0" width="25"/>
    <col collapsed="false" customWidth="true" hidden="false" outlineLevel="0" max="7973" min="7971" style="0" width="10.73"/>
    <col collapsed="false" customWidth="true" hidden="false" outlineLevel="0" max="7980" min="7974" style="0" width="11.45"/>
    <col collapsed="false" customWidth="true" hidden="false" outlineLevel="0" max="7989" min="7981" style="0" width="10.73"/>
    <col collapsed="false" customWidth="true" hidden="false" outlineLevel="0" max="8193" min="8193" style="0" width="15.54"/>
    <col collapsed="false" customWidth="true" hidden="false" outlineLevel="0" max="8194" min="8194" style="0" width="10.73"/>
    <col collapsed="false" customWidth="true" hidden="false" outlineLevel="0" max="8195" min="8195" style="0" width="34.27"/>
    <col collapsed="false" customWidth="true" hidden="false" outlineLevel="0" max="8196" min="8196" style="0" width="13.82"/>
    <col collapsed="false" customWidth="true" hidden="false" outlineLevel="0" max="8199" min="8197" style="0" width="11.45"/>
    <col collapsed="false" customWidth="true" hidden="false" outlineLevel="0" max="8200" min="8200" style="0" width="16.73"/>
    <col collapsed="false" customWidth="true" hidden="false" outlineLevel="0" max="8208" min="8201" style="0" width="11.45"/>
    <col collapsed="false" customWidth="true" hidden="false" outlineLevel="0" max="8209" min="8209" style="0" width="19"/>
    <col collapsed="false" customWidth="true" hidden="false" outlineLevel="0" max="8211" min="8210" style="0" width="11.45"/>
    <col collapsed="false" customWidth="true" hidden="false" outlineLevel="0" max="8212" min="8212" style="0" width="17.18"/>
    <col collapsed="false" customWidth="true" hidden="false" outlineLevel="0" max="8216" min="8213" style="0" width="11.45"/>
    <col collapsed="false" customWidth="true" hidden="false" outlineLevel="0" max="8217" min="8217" style="0" width="14.18"/>
    <col collapsed="false" customWidth="true" hidden="false" outlineLevel="0" max="8225" min="8218" style="0" width="11.45"/>
    <col collapsed="false" customWidth="true" hidden="false" outlineLevel="0" max="8226" min="8226" style="0" width="25"/>
    <col collapsed="false" customWidth="true" hidden="false" outlineLevel="0" max="8229" min="8227" style="0" width="10.73"/>
    <col collapsed="false" customWidth="true" hidden="false" outlineLevel="0" max="8236" min="8230" style="0" width="11.45"/>
    <col collapsed="false" customWidth="true" hidden="false" outlineLevel="0" max="8245" min="8237" style="0" width="10.73"/>
    <col collapsed="false" customWidth="true" hidden="false" outlineLevel="0" max="8449" min="8449" style="0" width="15.54"/>
    <col collapsed="false" customWidth="true" hidden="false" outlineLevel="0" max="8450" min="8450" style="0" width="10.73"/>
    <col collapsed="false" customWidth="true" hidden="false" outlineLevel="0" max="8451" min="8451" style="0" width="34.27"/>
    <col collapsed="false" customWidth="true" hidden="false" outlineLevel="0" max="8452" min="8452" style="0" width="13.82"/>
    <col collapsed="false" customWidth="true" hidden="false" outlineLevel="0" max="8455" min="8453" style="0" width="11.45"/>
    <col collapsed="false" customWidth="true" hidden="false" outlineLevel="0" max="8456" min="8456" style="0" width="16.73"/>
    <col collapsed="false" customWidth="true" hidden="false" outlineLevel="0" max="8464" min="8457" style="0" width="11.45"/>
    <col collapsed="false" customWidth="true" hidden="false" outlineLevel="0" max="8465" min="8465" style="0" width="19"/>
    <col collapsed="false" customWidth="true" hidden="false" outlineLevel="0" max="8467" min="8466" style="0" width="11.45"/>
    <col collapsed="false" customWidth="true" hidden="false" outlineLevel="0" max="8468" min="8468" style="0" width="17.18"/>
    <col collapsed="false" customWidth="true" hidden="false" outlineLevel="0" max="8472" min="8469" style="0" width="11.45"/>
    <col collapsed="false" customWidth="true" hidden="false" outlineLevel="0" max="8473" min="8473" style="0" width="14.18"/>
    <col collapsed="false" customWidth="true" hidden="false" outlineLevel="0" max="8481" min="8474" style="0" width="11.45"/>
    <col collapsed="false" customWidth="true" hidden="false" outlineLevel="0" max="8482" min="8482" style="0" width="25"/>
    <col collapsed="false" customWidth="true" hidden="false" outlineLevel="0" max="8485" min="8483" style="0" width="10.73"/>
    <col collapsed="false" customWidth="true" hidden="false" outlineLevel="0" max="8492" min="8486" style="0" width="11.45"/>
    <col collapsed="false" customWidth="true" hidden="false" outlineLevel="0" max="8501" min="8493" style="0" width="10.73"/>
    <col collapsed="false" customWidth="true" hidden="false" outlineLevel="0" max="8705" min="8705" style="0" width="15.54"/>
    <col collapsed="false" customWidth="true" hidden="false" outlineLevel="0" max="8706" min="8706" style="0" width="10.73"/>
    <col collapsed="false" customWidth="true" hidden="false" outlineLevel="0" max="8707" min="8707" style="0" width="34.27"/>
    <col collapsed="false" customWidth="true" hidden="false" outlineLevel="0" max="8708" min="8708" style="0" width="13.82"/>
    <col collapsed="false" customWidth="true" hidden="false" outlineLevel="0" max="8711" min="8709" style="0" width="11.45"/>
    <col collapsed="false" customWidth="true" hidden="false" outlineLevel="0" max="8712" min="8712" style="0" width="16.73"/>
    <col collapsed="false" customWidth="true" hidden="false" outlineLevel="0" max="8720" min="8713" style="0" width="11.45"/>
    <col collapsed="false" customWidth="true" hidden="false" outlineLevel="0" max="8721" min="8721" style="0" width="19"/>
    <col collapsed="false" customWidth="true" hidden="false" outlineLevel="0" max="8723" min="8722" style="0" width="11.45"/>
    <col collapsed="false" customWidth="true" hidden="false" outlineLevel="0" max="8724" min="8724" style="0" width="17.18"/>
    <col collapsed="false" customWidth="true" hidden="false" outlineLevel="0" max="8728" min="8725" style="0" width="11.45"/>
    <col collapsed="false" customWidth="true" hidden="false" outlineLevel="0" max="8729" min="8729" style="0" width="14.18"/>
    <col collapsed="false" customWidth="true" hidden="false" outlineLevel="0" max="8737" min="8730" style="0" width="11.45"/>
    <col collapsed="false" customWidth="true" hidden="false" outlineLevel="0" max="8738" min="8738" style="0" width="25"/>
    <col collapsed="false" customWidth="true" hidden="false" outlineLevel="0" max="8741" min="8739" style="0" width="10.73"/>
    <col collapsed="false" customWidth="true" hidden="false" outlineLevel="0" max="8748" min="8742" style="0" width="11.45"/>
    <col collapsed="false" customWidth="true" hidden="false" outlineLevel="0" max="8757" min="8749" style="0" width="10.73"/>
    <col collapsed="false" customWidth="true" hidden="false" outlineLevel="0" max="8961" min="8961" style="0" width="15.54"/>
    <col collapsed="false" customWidth="true" hidden="false" outlineLevel="0" max="8962" min="8962" style="0" width="10.73"/>
    <col collapsed="false" customWidth="true" hidden="false" outlineLevel="0" max="8963" min="8963" style="0" width="34.27"/>
    <col collapsed="false" customWidth="true" hidden="false" outlineLevel="0" max="8964" min="8964" style="0" width="13.82"/>
    <col collapsed="false" customWidth="true" hidden="false" outlineLevel="0" max="8967" min="8965" style="0" width="11.45"/>
    <col collapsed="false" customWidth="true" hidden="false" outlineLevel="0" max="8968" min="8968" style="0" width="16.73"/>
    <col collapsed="false" customWidth="true" hidden="false" outlineLevel="0" max="8976" min="8969" style="0" width="11.45"/>
    <col collapsed="false" customWidth="true" hidden="false" outlineLevel="0" max="8977" min="8977" style="0" width="19"/>
    <col collapsed="false" customWidth="true" hidden="false" outlineLevel="0" max="8979" min="8978" style="0" width="11.45"/>
    <col collapsed="false" customWidth="true" hidden="false" outlineLevel="0" max="8980" min="8980" style="0" width="17.18"/>
    <col collapsed="false" customWidth="true" hidden="false" outlineLevel="0" max="8984" min="8981" style="0" width="11.45"/>
    <col collapsed="false" customWidth="true" hidden="false" outlineLevel="0" max="8985" min="8985" style="0" width="14.18"/>
    <col collapsed="false" customWidth="true" hidden="false" outlineLevel="0" max="8993" min="8986" style="0" width="11.45"/>
    <col collapsed="false" customWidth="true" hidden="false" outlineLevel="0" max="8994" min="8994" style="0" width="25"/>
    <col collapsed="false" customWidth="true" hidden="false" outlineLevel="0" max="8997" min="8995" style="0" width="10.73"/>
    <col collapsed="false" customWidth="true" hidden="false" outlineLevel="0" max="9004" min="8998" style="0" width="11.45"/>
    <col collapsed="false" customWidth="true" hidden="false" outlineLevel="0" max="9013" min="9005" style="0" width="10.73"/>
    <col collapsed="false" customWidth="true" hidden="false" outlineLevel="0" max="9217" min="9217" style="0" width="15.54"/>
    <col collapsed="false" customWidth="true" hidden="false" outlineLevel="0" max="9218" min="9218" style="0" width="10.73"/>
    <col collapsed="false" customWidth="true" hidden="false" outlineLevel="0" max="9219" min="9219" style="0" width="34.27"/>
    <col collapsed="false" customWidth="true" hidden="false" outlineLevel="0" max="9220" min="9220" style="0" width="13.82"/>
    <col collapsed="false" customWidth="true" hidden="false" outlineLevel="0" max="9223" min="9221" style="0" width="11.45"/>
    <col collapsed="false" customWidth="true" hidden="false" outlineLevel="0" max="9224" min="9224" style="0" width="16.73"/>
    <col collapsed="false" customWidth="true" hidden="false" outlineLevel="0" max="9232" min="9225" style="0" width="11.45"/>
    <col collapsed="false" customWidth="true" hidden="false" outlineLevel="0" max="9233" min="9233" style="0" width="19"/>
    <col collapsed="false" customWidth="true" hidden="false" outlineLevel="0" max="9235" min="9234" style="0" width="11.45"/>
    <col collapsed="false" customWidth="true" hidden="false" outlineLevel="0" max="9236" min="9236" style="0" width="17.18"/>
    <col collapsed="false" customWidth="true" hidden="false" outlineLevel="0" max="9240" min="9237" style="0" width="11.45"/>
    <col collapsed="false" customWidth="true" hidden="false" outlineLevel="0" max="9241" min="9241" style="0" width="14.18"/>
    <col collapsed="false" customWidth="true" hidden="false" outlineLevel="0" max="9249" min="9242" style="0" width="11.45"/>
    <col collapsed="false" customWidth="true" hidden="false" outlineLevel="0" max="9250" min="9250" style="0" width="25"/>
    <col collapsed="false" customWidth="true" hidden="false" outlineLevel="0" max="9253" min="9251" style="0" width="10.73"/>
    <col collapsed="false" customWidth="true" hidden="false" outlineLevel="0" max="9260" min="9254" style="0" width="11.45"/>
    <col collapsed="false" customWidth="true" hidden="false" outlineLevel="0" max="9269" min="9261" style="0" width="10.73"/>
    <col collapsed="false" customWidth="true" hidden="false" outlineLevel="0" max="9473" min="9473" style="0" width="15.54"/>
    <col collapsed="false" customWidth="true" hidden="false" outlineLevel="0" max="9474" min="9474" style="0" width="10.73"/>
    <col collapsed="false" customWidth="true" hidden="false" outlineLevel="0" max="9475" min="9475" style="0" width="34.27"/>
    <col collapsed="false" customWidth="true" hidden="false" outlineLevel="0" max="9476" min="9476" style="0" width="13.82"/>
    <col collapsed="false" customWidth="true" hidden="false" outlineLevel="0" max="9479" min="9477" style="0" width="11.45"/>
    <col collapsed="false" customWidth="true" hidden="false" outlineLevel="0" max="9480" min="9480" style="0" width="16.73"/>
    <col collapsed="false" customWidth="true" hidden="false" outlineLevel="0" max="9488" min="9481" style="0" width="11.45"/>
    <col collapsed="false" customWidth="true" hidden="false" outlineLevel="0" max="9489" min="9489" style="0" width="19"/>
    <col collapsed="false" customWidth="true" hidden="false" outlineLevel="0" max="9491" min="9490" style="0" width="11.45"/>
    <col collapsed="false" customWidth="true" hidden="false" outlineLevel="0" max="9492" min="9492" style="0" width="17.18"/>
    <col collapsed="false" customWidth="true" hidden="false" outlineLevel="0" max="9496" min="9493" style="0" width="11.45"/>
    <col collapsed="false" customWidth="true" hidden="false" outlineLevel="0" max="9497" min="9497" style="0" width="14.18"/>
    <col collapsed="false" customWidth="true" hidden="false" outlineLevel="0" max="9505" min="9498" style="0" width="11.45"/>
    <col collapsed="false" customWidth="true" hidden="false" outlineLevel="0" max="9506" min="9506" style="0" width="25"/>
    <col collapsed="false" customWidth="true" hidden="false" outlineLevel="0" max="9509" min="9507" style="0" width="10.73"/>
    <col collapsed="false" customWidth="true" hidden="false" outlineLevel="0" max="9516" min="9510" style="0" width="11.45"/>
    <col collapsed="false" customWidth="true" hidden="false" outlineLevel="0" max="9525" min="9517" style="0" width="10.73"/>
    <col collapsed="false" customWidth="true" hidden="false" outlineLevel="0" max="9729" min="9729" style="0" width="15.54"/>
    <col collapsed="false" customWidth="true" hidden="false" outlineLevel="0" max="9730" min="9730" style="0" width="10.73"/>
    <col collapsed="false" customWidth="true" hidden="false" outlineLevel="0" max="9731" min="9731" style="0" width="34.27"/>
    <col collapsed="false" customWidth="true" hidden="false" outlineLevel="0" max="9732" min="9732" style="0" width="13.82"/>
    <col collapsed="false" customWidth="true" hidden="false" outlineLevel="0" max="9735" min="9733" style="0" width="11.45"/>
    <col collapsed="false" customWidth="true" hidden="false" outlineLevel="0" max="9736" min="9736" style="0" width="16.73"/>
    <col collapsed="false" customWidth="true" hidden="false" outlineLevel="0" max="9744" min="9737" style="0" width="11.45"/>
    <col collapsed="false" customWidth="true" hidden="false" outlineLevel="0" max="9745" min="9745" style="0" width="19"/>
    <col collapsed="false" customWidth="true" hidden="false" outlineLevel="0" max="9747" min="9746" style="0" width="11.45"/>
    <col collapsed="false" customWidth="true" hidden="false" outlineLevel="0" max="9748" min="9748" style="0" width="17.18"/>
    <col collapsed="false" customWidth="true" hidden="false" outlineLevel="0" max="9752" min="9749" style="0" width="11.45"/>
    <col collapsed="false" customWidth="true" hidden="false" outlineLevel="0" max="9753" min="9753" style="0" width="14.18"/>
    <col collapsed="false" customWidth="true" hidden="false" outlineLevel="0" max="9761" min="9754" style="0" width="11.45"/>
    <col collapsed="false" customWidth="true" hidden="false" outlineLevel="0" max="9762" min="9762" style="0" width="25"/>
    <col collapsed="false" customWidth="true" hidden="false" outlineLevel="0" max="9765" min="9763" style="0" width="10.73"/>
    <col collapsed="false" customWidth="true" hidden="false" outlineLevel="0" max="9772" min="9766" style="0" width="11.45"/>
    <col collapsed="false" customWidth="true" hidden="false" outlineLevel="0" max="9781" min="9773" style="0" width="10.73"/>
    <col collapsed="false" customWidth="true" hidden="false" outlineLevel="0" max="9985" min="9985" style="0" width="15.54"/>
    <col collapsed="false" customWidth="true" hidden="false" outlineLevel="0" max="9986" min="9986" style="0" width="10.73"/>
    <col collapsed="false" customWidth="true" hidden="false" outlineLevel="0" max="9987" min="9987" style="0" width="34.27"/>
    <col collapsed="false" customWidth="true" hidden="false" outlineLevel="0" max="9988" min="9988" style="0" width="13.82"/>
    <col collapsed="false" customWidth="true" hidden="false" outlineLevel="0" max="9991" min="9989" style="0" width="11.45"/>
    <col collapsed="false" customWidth="true" hidden="false" outlineLevel="0" max="9992" min="9992" style="0" width="16.73"/>
    <col collapsed="false" customWidth="true" hidden="false" outlineLevel="0" max="10000" min="9993" style="0" width="11.45"/>
    <col collapsed="false" customWidth="true" hidden="false" outlineLevel="0" max="10001" min="10001" style="0" width="19"/>
    <col collapsed="false" customWidth="true" hidden="false" outlineLevel="0" max="10003" min="10002" style="0" width="11.45"/>
    <col collapsed="false" customWidth="true" hidden="false" outlineLevel="0" max="10004" min="10004" style="0" width="17.18"/>
    <col collapsed="false" customWidth="true" hidden="false" outlineLevel="0" max="10008" min="10005" style="0" width="11.45"/>
    <col collapsed="false" customWidth="true" hidden="false" outlineLevel="0" max="10009" min="10009" style="0" width="14.18"/>
    <col collapsed="false" customWidth="true" hidden="false" outlineLevel="0" max="10017" min="10010" style="0" width="11.45"/>
    <col collapsed="false" customWidth="true" hidden="false" outlineLevel="0" max="10018" min="10018" style="0" width="25"/>
    <col collapsed="false" customWidth="true" hidden="false" outlineLevel="0" max="10021" min="10019" style="0" width="10.73"/>
    <col collapsed="false" customWidth="true" hidden="false" outlineLevel="0" max="10028" min="10022" style="0" width="11.45"/>
    <col collapsed="false" customWidth="true" hidden="false" outlineLevel="0" max="10037" min="10029" style="0" width="10.73"/>
    <col collapsed="false" customWidth="true" hidden="false" outlineLevel="0" max="10241" min="10241" style="0" width="15.54"/>
    <col collapsed="false" customWidth="true" hidden="false" outlineLevel="0" max="10242" min="10242" style="0" width="10.73"/>
    <col collapsed="false" customWidth="true" hidden="false" outlineLevel="0" max="10243" min="10243" style="0" width="34.27"/>
    <col collapsed="false" customWidth="true" hidden="false" outlineLevel="0" max="10244" min="10244" style="0" width="13.82"/>
    <col collapsed="false" customWidth="true" hidden="false" outlineLevel="0" max="10247" min="10245" style="0" width="11.45"/>
    <col collapsed="false" customWidth="true" hidden="false" outlineLevel="0" max="10248" min="10248" style="0" width="16.73"/>
    <col collapsed="false" customWidth="true" hidden="false" outlineLevel="0" max="10256" min="10249" style="0" width="11.45"/>
    <col collapsed="false" customWidth="true" hidden="false" outlineLevel="0" max="10257" min="10257" style="0" width="19"/>
    <col collapsed="false" customWidth="true" hidden="false" outlineLevel="0" max="10259" min="10258" style="0" width="11.45"/>
    <col collapsed="false" customWidth="true" hidden="false" outlineLevel="0" max="10260" min="10260" style="0" width="17.18"/>
    <col collapsed="false" customWidth="true" hidden="false" outlineLevel="0" max="10264" min="10261" style="0" width="11.45"/>
    <col collapsed="false" customWidth="true" hidden="false" outlineLevel="0" max="10265" min="10265" style="0" width="14.18"/>
    <col collapsed="false" customWidth="true" hidden="false" outlineLevel="0" max="10273" min="10266" style="0" width="11.45"/>
    <col collapsed="false" customWidth="true" hidden="false" outlineLevel="0" max="10274" min="10274" style="0" width="25"/>
    <col collapsed="false" customWidth="true" hidden="false" outlineLevel="0" max="10277" min="10275" style="0" width="10.73"/>
    <col collapsed="false" customWidth="true" hidden="false" outlineLevel="0" max="10284" min="10278" style="0" width="11.45"/>
    <col collapsed="false" customWidth="true" hidden="false" outlineLevel="0" max="10293" min="10285" style="0" width="10.73"/>
    <col collapsed="false" customWidth="true" hidden="false" outlineLevel="0" max="10497" min="10497" style="0" width="15.54"/>
    <col collapsed="false" customWidth="true" hidden="false" outlineLevel="0" max="10498" min="10498" style="0" width="10.73"/>
    <col collapsed="false" customWidth="true" hidden="false" outlineLevel="0" max="10499" min="10499" style="0" width="34.27"/>
    <col collapsed="false" customWidth="true" hidden="false" outlineLevel="0" max="10500" min="10500" style="0" width="13.82"/>
    <col collapsed="false" customWidth="true" hidden="false" outlineLevel="0" max="10503" min="10501" style="0" width="11.45"/>
    <col collapsed="false" customWidth="true" hidden="false" outlineLevel="0" max="10504" min="10504" style="0" width="16.73"/>
    <col collapsed="false" customWidth="true" hidden="false" outlineLevel="0" max="10512" min="10505" style="0" width="11.45"/>
    <col collapsed="false" customWidth="true" hidden="false" outlineLevel="0" max="10513" min="10513" style="0" width="19"/>
    <col collapsed="false" customWidth="true" hidden="false" outlineLevel="0" max="10515" min="10514" style="0" width="11.45"/>
    <col collapsed="false" customWidth="true" hidden="false" outlineLevel="0" max="10516" min="10516" style="0" width="17.18"/>
    <col collapsed="false" customWidth="true" hidden="false" outlineLevel="0" max="10520" min="10517" style="0" width="11.45"/>
    <col collapsed="false" customWidth="true" hidden="false" outlineLevel="0" max="10521" min="10521" style="0" width="14.18"/>
    <col collapsed="false" customWidth="true" hidden="false" outlineLevel="0" max="10529" min="10522" style="0" width="11.45"/>
    <col collapsed="false" customWidth="true" hidden="false" outlineLevel="0" max="10530" min="10530" style="0" width="25"/>
    <col collapsed="false" customWidth="true" hidden="false" outlineLevel="0" max="10533" min="10531" style="0" width="10.73"/>
    <col collapsed="false" customWidth="true" hidden="false" outlineLevel="0" max="10540" min="10534" style="0" width="11.45"/>
    <col collapsed="false" customWidth="true" hidden="false" outlineLevel="0" max="10549" min="10541" style="0" width="10.73"/>
    <col collapsed="false" customWidth="true" hidden="false" outlineLevel="0" max="10753" min="10753" style="0" width="15.54"/>
    <col collapsed="false" customWidth="true" hidden="false" outlineLevel="0" max="10754" min="10754" style="0" width="10.73"/>
    <col collapsed="false" customWidth="true" hidden="false" outlineLevel="0" max="10755" min="10755" style="0" width="34.27"/>
    <col collapsed="false" customWidth="true" hidden="false" outlineLevel="0" max="10756" min="10756" style="0" width="13.82"/>
    <col collapsed="false" customWidth="true" hidden="false" outlineLevel="0" max="10759" min="10757" style="0" width="11.45"/>
    <col collapsed="false" customWidth="true" hidden="false" outlineLevel="0" max="10760" min="10760" style="0" width="16.73"/>
    <col collapsed="false" customWidth="true" hidden="false" outlineLevel="0" max="10768" min="10761" style="0" width="11.45"/>
    <col collapsed="false" customWidth="true" hidden="false" outlineLevel="0" max="10769" min="10769" style="0" width="19"/>
    <col collapsed="false" customWidth="true" hidden="false" outlineLevel="0" max="10771" min="10770" style="0" width="11.45"/>
    <col collapsed="false" customWidth="true" hidden="false" outlineLevel="0" max="10772" min="10772" style="0" width="17.18"/>
    <col collapsed="false" customWidth="true" hidden="false" outlineLevel="0" max="10776" min="10773" style="0" width="11.45"/>
    <col collapsed="false" customWidth="true" hidden="false" outlineLevel="0" max="10777" min="10777" style="0" width="14.18"/>
    <col collapsed="false" customWidth="true" hidden="false" outlineLevel="0" max="10785" min="10778" style="0" width="11.45"/>
    <col collapsed="false" customWidth="true" hidden="false" outlineLevel="0" max="10786" min="10786" style="0" width="25"/>
    <col collapsed="false" customWidth="true" hidden="false" outlineLevel="0" max="10789" min="10787" style="0" width="10.73"/>
    <col collapsed="false" customWidth="true" hidden="false" outlineLevel="0" max="10796" min="10790" style="0" width="11.45"/>
    <col collapsed="false" customWidth="true" hidden="false" outlineLevel="0" max="10805" min="10797" style="0" width="10.73"/>
    <col collapsed="false" customWidth="true" hidden="false" outlineLevel="0" max="11009" min="11009" style="0" width="15.54"/>
    <col collapsed="false" customWidth="true" hidden="false" outlineLevel="0" max="11010" min="11010" style="0" width="10.73"/>
    <col collapsed="false" customWidth="true" hidden="false" outlineLevel="0" max="11011" min="11011" style="0" width="34.27"/>
    <col collapsed="false" customWidth="true" hidden="false" outlineLevel="0" max="11012" min="11012" style="0" width="13.82"/>
    <col collapsed="false" customWidth="true" hidden="false" outlineLevel="0" max="11015" min="11013" style="0" width="11.45"/>
    <col collapsed="false" customWidth="true" hidden="false" outlineLevel="0" max="11016" min="11016" style="0" width="16.73"/>
    <col collapsed="false" customWidth="true" hidden="false" outlineLevel="0" max="11024" min="11017" style="0" width="11.45"/>
    <col collapsed="false" customWidth="true" hidden="false" outlineLevel="0" max="11025" min="11025" style="0" width="19"/>
    <col collapsed="false" customWidth="true" hidden="false" outlineLevel="0" max="11027" min="11026" style="0" width="11.45"/>
    <col collapsed="false" customWidth="true" hidden="false" outlineLevel="0" max="11028" min="11028" style="0" width="17.18"/>
    <col collapsed="false" customWidth="true" hidden="false" outlineLevel="0" max="11032" min="11029" style="0" width="11.45"/>
    <col collapsed="false" customWidth="true" hidden="false" outlineLevel="0" max="11033" min="11033" style="0" width="14.18"/>
    <col collapsed="false" customWidth="true" hidden="false" outlineLevel="0" max="11041" min="11034" style="0" width="11.45"/>
    <col collapsed="false" customWidth="true" hidden="false" outlineLevel="0" max="11042" min="11042" style="0" width="25"/>
    <col collapsed="false" customWidth="true" hidden="false" outlineLevel="0" max="11045" min="11043" style="0" width="10.73"/>
    <col collapsed="false" customWidth="true" hidden="false" outlineLevel="0" max="11052" min="11046" style="0" width="11.45"/>
    <col collapsed="false" customWidth="true" hidden="false" outlineLevel="0" max="11061" min="11053" style="0" width="10.73"/>
    <col collapsed="false" customWidth="true" hidden="false" outlineLevel="0" max="11265" min="11265" style="0" width="15.54"/>
    <col collapsed="false" customWidth="true" hidden="false" outlineLevel="0" max="11266" min="11266" style="0" width="10.73"/>
    <col collapsed="false" customWidth="true" hidden="false" outlineLevel="0" max="11267" min="11267" style="0" width="34.27"/>
    <col collapsed="false" customWidth="true" hidden="false" outlineLevel="0" max="11268" min="11268" style="0" width="13.82"/>
    <col collapsed="false" customWidth="true" hidden="false" outlineLevel="0" max="11271" min="11269" style="0" width="11.45"/>
    <col collapsed="false" customWidth="true" hidden="false" outlineLevel="0" max="11272" min="11272" style="0" width="16.73"/>
    <col collapsed="false" customWidth="true" hidden="false" outlineLevel="0" max="11280" min="11273" style="0" width="11.45"/>
    <col collapsed="false" customWidth="true" hidden="false" outlineLevel="0" max="11281" min="11281" style="0" width="19"/>
    <col collapsed="false" customWidth="true" hidden="false" outlineLevel="0" max="11283" min="11282" style="0" width="11.45"/>
    <col collapsed="false" customWidth="true" hidden="false" outlineLevel="0" max="11284" min="11284" style="0" width="17.18"/>
    <col collapsed="false" customWidth="true" hidden="false" outlineLevel="0" max="11288" min="11285" style="0" width="11.45"/>
    <col collapsed="false" customWidth="true" hidden="false" outlineLevel="0" max="11289" min="11289" style="0" width="14.18"/>
    <col collapsed="false" customWidth="true" hidden="false" outlineLevel="0" max="11297" min="11290" style="0" width="11.45"/>
    <col collapsed="false" customWidth="true" hidden="false" outlineLevel="0" max="11298" min="11298" style="0" width="25"/>
    <col collapsed="false" customWidth="true" hidden="false" outlineLevel="0" max="11301" min="11299" style="0" width="10.73"/>
    <col collapsed="false" customWidth="true" hidden="false" outlineLevel="0" max="11308" min="11302" style="0" width="11.45"/>
    <col collapsed="false" customWidth="true" hidden="false" outlineLevel="0" max="11317" min="11309" style="0" width="10.73"/>
    <col collapsed="false" customWidth="true" hidden="false" outlineLevel="0" max="11521" min="11521" style="0" width="15.54"/>
    <col collapsed="false" customWidth="true" hidden="false" outlineLevel="0" max="11522" min="11522" style="0" width="10.73"/>
    <col collapsed="false" customWidth="true" hidden="false" outlineLevel="0" max="11523" min="11523" style="0" width="34.27"/>
    <col collapsed="false" customWidth="true" hidden="false" outlineLevel="0" max="11524" min="11524" style="0" width="13.82"/>
    <col collapsed="false" customWidth="true" hidden="false" outlineLevel="0" max="11527" min="11525" style="0" width="11.45"/>
    <col collapsed="false" customWidth="true" hidden="false" outlineLevel="0" max="11528" min="11528" style="0" width="16.73"/>
    <col collapsed="false" customWidth="true" hidden="false" outlineLevel="0" max="11536" min="11529" style="0" width="11.45"/>
    <col collapsed="false" customWidth="true" hidden="false" outlineLevel="0" max="11537" min="11537" style="0" width="19"/>
    <col collapsed="false" customWidth="true" hidden="false" outlineLevel="0" max="11539" min="11538" style="0" width="11.45"/>
    <col collapsed="false" customWidth="true" hidden="false" outlineLevel="0" max="11540" min="11540" style="0" width="17.18"/>
    <col collapsed="false" customWidth="true" hidden="false" outlineLevel="0" max="11544" min="11541" style="0" width="11.45"/>
    <col collapsed="false" customWidth="true" hidden="false" outlineLevel="0" max="11545" min="11545" style="0" width="14.18"/>
    <col collapsed="false" customWidth="true" hidden="false" outlineLevel="0" max="11553" min="11546" style="0" width="11.45"/>
    <col collapsed="false" customWidth="true" hidden="false" outlineLevel="0" max="11554" min="11554" style="0" width="25"/>
    <col collapsed="false" customWidth="true" hidden="false" outlineLevel="0" max="11557" min="11555" style="0" width="10.73"/>
    <col collapsed="false" customWidth="true" hidden="false" outlineLevel="0" max="11564" min="11558" style="0" width="11.45"/>
    <col collapsed="false" customWidth="true" hidden="false" outlineLevel="0" max="11573" min="11565" style="0" width="10.73"/>
    <col collapsed="false" customWidth="true" hidden="false" outlineLevel="0" max="11777" min="11777" style="0" width="15.54"/>
    <col collapsed="false" customWidth="true" hidden="false" outlineLevel="0" max="11778" min="11778" style="0" width="10.73"/>
    <col collapsed="false" customWidth="true" hidden="false" outlineLevel="0" max="11779" min="11779" style="0" width="34.27"/>
    <col collapsed="false" customWidth="true" hidden="false" outlineLevel="0" max="11780" min="11780" style="0" width="13.82"/>
    <col collapsed="false" customWidth="true" hidden="false" outlineLevel="0" max="11783" min="11781" style="0" width="11.45"/>
    <col collapsed="false" customWidth="true" hidden="false" outlineLevel="0" max="11784" min="11784" style="0" width="16.73"/>
    <col collapsed="false" customWidth="true" hidden="false" outlineLevel="0" max="11792" min="11785" style="0" width="11.45"/>
    <col collapsed="false" customWidth="true" hidden="false" outlineLevel="0" max="11793" min="11793" style="0" width="19"/>
    <col collapsed="false" customWidth="true" hidden="false" outlineLevel="0" max="11795" min="11794" style="0" width="11.45"/>
    <col collapsed="false" customWidth="true" hidden="false" outlineLevel="0" max="11796" min="11796" style="0" width="17.18"/>
    <col collapsed="false" customWidth="true" hidden="false" outlineLevel="0" max="11800" min="11797" style="0" width="11.45"/>
    <col collapsed="false" customWidth="true" hidden="false" outlineLevel="0" max="11801" min="11801" style="0" width="14.18"/>
    <col collapsed="false" customWidth="true" hidden="false" outlineLevel="0" max="11809" min="11802" style="0" width="11.45"/>
    <col collapsed="false" customWidth="true" hidden="false" outlineLevel="0" max="11810" min="11810" style="0" width="25"/>
    <col collapsed="false" customWidth="true" hidden="false" outlineLevel="0" max="11813" min="11811" style="0" width="10.73"/>
    <col collapsed="false" customWidth="true" hidden="false" outlineLevel="0" max="11820" min="11814" style="0" width="11.45"/>
    <col collapsed="false" customWidth="true" hidden="false" outlineLevel="0" max="11829" min="11821" style="0" width="10.73"/>
    <col collapsed="false" customWidth="true" hidden="false" outlineLevel="0" max="12033" min="12033" style="0" width="15.54"/>
    <col collapsed="false" customWidth="true" hidden="false" outlineLevel="0" max="12034" min="12034" style="0" width="10.73"/>
    <col collapsed="false" customWidth="true" hidden="false" outlineLevel="0" max="12035" min="12035" style="0" width="34.27"/>
    <col collapsed="false" customWidth="true" hidden="false" outlineLevel="0" max="12036" min="12036" style="0" width="13.82"/>
    <col collapsed="false" customWidth="true" hidden="false" outlineLevel="0" max="12039" min="12037" style="0" width="11.45"/>
    <col collapsed="false" customWidth="true" hidden="false" outlineLevel="0" max="12040" min="12040" style="0" width="16.73"/>
    <col collapsed="false" customWidth="true" hidden="false" outlineLevel="0" max="12048" min="12041" style="0" width="11.45"/>
    <col collapsed="false" customWidth="true" hidden="false" outlineLevel="0" max="12049" min="12049" style="0" width="19"/>
    <col collapsed="false" customWidth="true" hidden="false" outlineLevel="0" max="12051" min="12050" style="0" width="11.45"/>
    <col collapsed="false" customWidth="true" hidden="false" outlineLevel="0" max="12052" min="12052" style="0" width="17.18"/>
    <col collapsed="false" customWidth="true" hidden="false" outlineLevel="0" max="12056" min="12053" style="0" width="11.45"/>
    <col collapsed="false" customWidth="true" hidden="false" outlineLevel="0" max="12057" min="12057" style="0" width="14.18"/>
    <col collapsed="false" customWidth="true" hidden="false" outlineLevel="0" max="12065" min="12058" style="0" width="11.45"/>
    <col collapsed="false" customWidth="true" hidden="false" outlineLevel="0" max="12066" min="12066" style="0" width="25"/>
    <col collapsed="false" customWidth="true" hidden="false" outlineLevel="0" max="12069" min="12067" style="0" width="10.73"/>
    <col collapsed="false" customWidth="true" hidden="false" outlineLevel="0" max="12076" min="12070" style="0" width="11.45"/>
    <col collapsed="false" customWidth="true" hidden="false" outlineLevel="0" max="12085" min="12077" style="0" width="10.73"/>
    <col collapsed="false" customWidth="true" hidden="false" outlineLevel="0" max="12289" min="12289" style="0" width="15.54"/>
    <col collapsed="false" customWidth="true" hidden="false" outlineLevel="0" max="12290" min="12290" style="0" width="10.73"/>
    <col collapsed="false" customWidth="true" hidden="false" outlineLevel="0" max="12291" min="12291" style="0" width="34.27"/>
    <col collapsed="false" customWidth="true" hidden="false" outlineLevel="0" max="12292" min="12292" style="0" width="13.82"/>
    <col collapsed="false" customWidth="true" hidden="false" outlineLevel="0" max="12295" min="12293" style="0" width="11.45"/>
    <col collapsed="false" customWidth="true" hidden="false" outlineLevel="0" max="12296" min="12296" style="0" width="16.73"/>
    <col collapsed="false" customWidth="true" hidden="false" outlineLevel="0" max="12304" min="12297" style="0" width="11.45"/>
    <col collapsed="false" customWidth="true" hidden="false" outlineLevel="0" max="12305" min="12305" style="0" width="19"/>
    <col collapsed="false" customWidth="true" hidden="false" outlineLevel="0" max="12307" min="12306" style="0" width="11.45"/>
    <col collapsed="false" customWidth="true" hidden="false" outlineLevel="0" max="12308" min="12308" style="0" width="17.18"/>
    <col collapsed="false" customWidth="true" hidden="false" outlineLevel="0" max="12312" min="12309" style="0" width="11.45"/>
    <col collapsed="false" customWidth="true" hidden="false" outlineLevel="0" max="12313" min="12313" style="0" width="14.18"/>
    <col collapsed="false" customWidth="true" hidden="false" outlineLevel="0" max="12321" min="12314" style="0" width="11.45"/>
    <col collapsed="false" customWidth="true" hidden="false" outlineLevel="0" max="12322" min="12322" style="0" width="25"/>
    <col collapsed="false" customWidth="true" hidden="false" outlineLevel="0" max="12325" min="12323" style="0" width="10.73"/>
    <col collapsed="false" customWidth="true" hidden="false" outlineLevel="0" max="12332" min="12326" style="0" width="11.45"/>
    <col collapsed="false" customWidth="true" hidden="false" outlineLevel="0" max="12341" min="12333" style="0" width="10.73"/>
    <col collapsed="false" customWidth="true" hidden="false" outlineLevel="0" max="12545" min="12545" style="0" width="15.54"/>
    <col collapsed="false" customWidth="true" hidden="false" outlineLevel="0" max="12546" min="12546" style="0" width="10.73"/>
    <col collapsed="false" customWidth="true" hidden="false" outlineLevel="0" max="12547" min="12547" style="0" width="34.27"/>
    <col collapsed="false" customWidth="true" hidden="false" outlineLevel="0" max="12548" min="12548" style="0" width="13.82"/>
    <col collapsed="false" customWidth="true" hidden="false" outlineLevel="0" max="12551" min="12549" style="0" width="11.45"/>
    <col collapsed="false" customWidth="true" hidden="false" outlineLevel="0" max="12552" min="12552" style="0" width="16.73"/>
    <col collapsed="false" customWidth="true" hidden="false" outlineLevel="0" max="12560" min="12553" style="0" width="11.45"/>
    <col collapsed="false" customWidth="true" hidden="false" outlineLevel="0" max="12561" min="12561" style="0" width="19"/>
    <col collapsed="false" customWidth="true" hidden="false" outlineLevel="0" max="12563" min="12562" style="0" width="11.45"/>
    <col collapsed="false" customWidth="true" hidden="false" outlineLevel="0" max="12564" min="12564" style="0" width="17.18"/>
    <col collapsed="false" customWidth="true" hidden="false" outlineLevel="0" max="12568" min="12565" style="0" width="11.45"/>
    <col collapsed="false" customWidth="true" hidden="false" outlineLevel="0" max="12569" min="12569" style="0" width="14.18"/>
    <col collapsed="false" customWidth="true" hidden="false" outlineLevel="0" max="12577" min="12570" style="0" width="11.45"/>
    <col collapsed="false" customWidth="true" hidden="false" outlineLevel="0" max="12578" min="12578" style="0" width="25"/>
    <col collapsed="false" customWidth="true" hidden="false" outlineLevel="0" max="12581" min="12579" style="0" width="10.73"/>
    <col collapsed="false" customWidth="true" hidden="false" outlineLevel="0" max="12588" min="12582" style="0" width="11.45"/>
    <col collapsed="false" customWidth="true" hidden="false" outlineLevel="0" max="12597" min="12589" style="0" width="10.73"/>
    <col collapsed="false" customWidth="true" hidden="false" outlineLevel="0" max="12801" min="12801" style="0" width="15.54"/>
    <col collapsed="false" customWidth="true" hidden="false" outlineLevel="0" max="12802" min="12802" style="0" width="10.73"/>
    <col collapsed="false" customWidth="true" hidden="false" outlineLevel="0" max="12803" min="12803" style="0" width="34.27"/>
    <col collapsed="false" customWidth="true" hidden="false" outlineLevel="0" max="12804" min="12804" style="0" width="13.82"/>
    <col collapsed="false" customWidth="true" hidden="false" outlineLevel="0" max="12807" min="12805" style="0" width="11.45"/>
    <col collapsed="false" customWidth="true" hidden="false" outlineLevel="0" max="12808" min="12808" style="0" width="16.73"/>
    <col collapsed="false" customWidth="true" hidden="false" outlineLevel="0" max="12816" min="12809" style="0" width="11.45"/>
    <col collapsed="false" customWidth="true" hidden="false" outlineLevel="0" max="12817" min="12817" style="0" width="19"/>
    <col collapsed="false" customWidth="true" hidden="false" outlineLevel="0" max="12819" min="12818" style="0" width="11.45"/>
    <col collapsed="false" customWidth="true" hidden="false" outlineLevel="0" max="12820" min="12820" style="0" width="17.18"/>
    <col collapsed="false" customWidth="true" hidden="false" outlineLevel="0" max="12824" min="12821" style="0" width="11.45"/>
    <col collapsed="false" customWidth="true" hidden="false" outlineLevel="0" max="12825" min="12825" style="0" width="14.18"/>
    <col collapsed="false" customWidth="true" hidden="false" outlineLevel="0" max="12833" min="12826" style="0" width="11.45"/>
    <col collapsed="false" customWidth="true" hidden="false" outlineLevel="0" max="12834" min="12834" style="0" width="25"/>
    <col collapsed="false" customWidth="true" hidden="false" outlineLevel="0" max="12837" min="12835" style="0" width="10.73"/>
    <col collapsed="false" customWidth="true" hidden="false" outlineLevel="0" max="12844" min="12838" style="0" width="11.45"/>
    <col collapsed="false" customWidth="true" hidden="false" outlineLevel="0" max="12853" min="12845" style="0" width="10.73"/>
    <col collapsed="false" customWidth="true" hidden="false" outlineLevel="0" max="13057" min="13057" style="0" width="15.54"/>
    <col collapsed="false" customWidth="true" hidden="false" outlineLevel="0" max="13058" min="13058" style="0" width="10.73"/>
    <col collapsed="false" customWidth="true" hidden="false" outlineLevel="0" max="13059" min="13059" style="0" width="34.27"/>
    <col collapsed="false" customWidth="true" hidden="false" outlineLevel="0" max="13060" min="13060" style="0" width="13.82"/>
    <col collapsed="false" customWidth="true" hidden="false" outlineLevel="0" max="13063" min="13061" style="0" width="11.45"/>
    <col collapsed="false" customWidth="true" hidden="false" outlineLevel="0" max="13064" min="13064" style="0" width="16.73"/>
    <col collapsed="false" customWidth="true" hidden="false" outlineLevel="0" max="13072" min="13065" style="0" width="11.45"/>
    <col collapsed="false" customWidth="true" hidden="false" outlineLevel="0" max="13073" min="13073" style="0" width="19"/>
    <col collapsed="false" customWidth="true" hidden="false" outlineLevel="0" max="13075" min="13074" style="0" width="11.45"/>
    <col collapsed="false" customWidth="true" hidden="false" outlineLevel="0" max="13076" min="13076" style="0" width="17.18"/>
    <col collapsed="false" customWidth="true" hidden="false" outlineLevel="0" max="13080" min="13077" style="0" width="11.45"/>
    <col collapsed="false" customWidth="true" hidden="false" outlineLevel="0" max="13081" min="13081" style="0" width="14.18"/>
    <col collapsed="false" customWidth="true" hidden="false" outlineLevel="0" max="13089" min="13082" style="0" width="11.45"/>
    <col collapsed="false" customWidth="true" hidden="false" outlineLevel="0" max="13090" min="13090" style="0" width="25"/>
    <col collapsed="false" customWidth="true" hidden="false" outlineLevel="0" max="13093" min="13091" style="0" width="10.73"/>
    <col collapsed="false" customWidth="true" hidden="false" outlineLevel="0" max="13100" min="13094" style="0" width="11.45"/>
    <col collapsed="false" customWidth="true" hidden="false" outlineLevel="0" max="13109" min="13101" style="0" width="10.73"/>
    <col collapsed="false" customWidth="true" hidden="false" outlineLevel="0" max="13313" min="13313" style="0" width="15.54"/>
    <col collapsed="false" customWidth="true" hidden="false" outlineLevel="0" max="13314" min="13314" style="0" width="10.73"/>
    <col collapsed="false" customWidth="true" hidden="false" outlineLevel="0" max="13315" min="13315" style="0" width="34.27"/>
    <col collapsed="false" customWidth="true" hidden="false" outlineLevel="0" max="13316" min="13316" style="0" width="13.82"/>
    <col collapsed="false" customWidth="true" hidden="false" outlineLevel="0" max="13319" min="13317" style="0" width="11.45"/>
    <col collapsed="false" customWidth="true" hidden="false" outlineLevel="0" max="13320" min="13320" style="0" width="16.73"/>
    <col collapsed="false" customWidth="true" hidden="false" outlineLevel="0" max="13328" min="13321" style="0" width="11.45"/>
    <col collapsed="false" customWidth="true" hidden="false" outlineLevel="0" max="13329" min="13329" style="0" width="19"/>
    <col collapsed="false" customWidth="true" hidden="false" outlineLevel="0" max="13331" min="13330" style="0" width="11.45"/>
    <col collapsed="false" customWidth="true" hidden="false" outlineLevel="0" max="13332" min="13332" style="0" width="17.18"/>
    <col collapsed="false" customWidth="true" hidden="false" outlineLevel="0" max="13336" min="13333" style="0" width="11.45"/>
    <col collapsed="false" customWidth="true" hidden="false" outlineLevel="0" max="13337" min="13337" style="0" width="14.18"/>
    <col collapsed="false" customWidth="true" hidden="false" outlineLevel="0" max="13345" min="13338" style="0" width="11.45"/>
    <col collapsed="false" customWidth="true" hidden="false" outlineLevel="0" max="13346" min="13346" style="0" width="25"/>
    <col collapsed="false" customWidth="true" hidden="false" outlineLevel="0" max="13349" min="13347" style="0" width="10.73"/>
    <col collapsed="false" customWidth="true" hidden="false" outlineLevel="0" max="13356" min="13350" style="0" width="11.45"/>
    <col collapsed="false" customWidth="true" hidden="false" outlineLevel="0" max="13365" min="13357" style="0" width="10.73"/>
    <col collapsed="false" customWidth="true" hidden="false" outlineLevel="0" max="13569" min="13569" style="0" width="15.54"/>
    <col collapsed="false" customWidth="true" hidden="false" outlineLevel="0" max="13570" min="13570" style="0" width="10.73"/>
    <col collapsed="false" customWidth="true" hidden="false" outlineLevel="0" max="13571" min="13571" style="0" width="34.27"/>
    <col collapsed="false" customWidth="true" hidden="false" outlineLevel="0" max="13572" min="13572" style="0" width="13.82"/>
    <col collapsed="false" customWidth="true" hidden="false" outlineLevel="0" max="13575" min="13573" style="0" width="11.45"/>
    <col collapsed="false" customWidth="true" hidden="false" outlineLevel="0" max="13576" min="13576" style="0" width="16.73"/>
    <col collapsed="false" customWidth="true" hidden="false" outlineLevel="0" max="13584" min="13577" style="0" width="11.45"/>
    <col collapsed="false" customWidth="true" hidden="false" outlineLevel="0" max="13585" min="13585" style="0" width="19"/>
    <col collapsed="false" customWidth="true" hidden="false" outlineLevel="0" max="13587" min="13586" style="0" width="11.45"/>
    <col collapsed="false" customWidth="true" hidden="false" outlineLevel="0" max="13588" min="13588" style="0" width="17.18"/>
    <col collapsed="false" customWidth="true" hidden="false" outlineLevel="0" max="13592" min="13589" style="0" width="11.45"/>
    <col collapsed="false" customWidth="true" hidden="false" outlineLevel="0" max="13593" min="13593" style="0" width="14.18"/>
    <col collapsed="false" customWidth="true" hidden="false" outlineLevel="0" max="13601" min="13594" style="0" width="11.45"/>
    <col collapsed="false" customWidth="true" hidden="false" outlineLevel="0" max="13602" min="13602" style="0" width="25"/>
    <col collapsed="false" customWidth="true" hidden="false" outlineLevel="0" max="13605" min="13603" style="0" width="10.73"/>
    <col collapsed="false" customWidth="true" hidden="false" outlineLevel="0" max="13612" min="13606" style="0" width="11.45"/>
    <col collapsed="false" customWidth="true" hidden="false" outlineLevel="0" max="13621" min="13613" style="0" width="10.73"/>
    <col collapsed="false" customWidth="true" hidden="false" outlineLevel="0" max="13825" min="13825" style="0" width="15.54"/>
    <col collapsed="false" customWidth="true" hidden="false" outlineLevel="0" max="13826" min="13826" style="0" width="10.73"/>
    <col collapsed="false" customWidth="true" hidden="false" outlineLevel="0" max="13827" min="13827" style="0" width="34.27"/>
    <col collapsed="false" customWidth="true" hidden="false" outlineLevel="0" max="13828" min="13828" style="0" width="13.82"/>
    <col collapsed="false" customWidth="true" hidden="false" outlineLevel="0" max="13831" min="13829" style="0" width="11.45"/>
    <col collapsed="false" customWidth="true" hidden="false" outlineLevel="0" max="13832" min="13832" style="0" width="16.73"/>
    <col collapsed="false" customWidth="true" hidden="false" outlineLevel="0" max="13840" min="13833" style="0" width="11.45"/>
    <col collapsed="false" customWidth="true" hidden="false" outlineLevel="0" max="13841" min="13841" style="0" width="19"/>
    <col collapsed="false" customWidth="true" hidden="false" outlineLevel="0" max="13843" min="13842" style="0" width="11.45"/>
    <col collapsed="false" customWidth="true" hidden="false" outlineLevel="0" max="13844" min="13844" style="0" width="17.18"/>
    <col collapsed="false" customWidth="true" hidden="false" outlineLevel="0" max="13848" min="13845" style="0" width="11.45"/>
    <col collapsed="false" customWidth="true" hidden="false" outlineLevel="0" max="13849" min="13849" style="0" width="14.18"/>
    <col collapsed="false" customWidth="true" hidden="false" outlineLevel="0" max="13857" min="13850" style="0" width="11.45"/>
    <col collapsed="false" customWidth="true" hidden="false" outlineLevel="0" max="13858" min="13858" style="0" width="25"/>
    <col collapsed="false" customWidth="true" hidden="false" outlineLevel="0" max="13861" min="13859" style="0" width="10.73"/>
    <col collapsed="false" customWidth="true" hidden="false" outlineLevel="0" max="13868" min="13862" style="0" width="11.45"/>
    <col collapsed="false" customWidth="true" hidden="false" outlineLevel="0" max="13877" min="13869" style="0" width="10.73"/>
    <col collapsed="false" customWidth="true" hidden="false" outlineLevel="0" max="14081" min="14081" style="0" width="15.54"/>
    <col collapsed="false" customWidth="true" hidden="false" outlineLevel="0" max="14082" min="14082" style="0" width="10.73"/>
    <col collapsed="false" customWidth="true" hidden="false" outlineLevel="0" max="14083" min="14083" style="0" width="34.27"/>
    <col collapsed="false" customWidth="true" hidden="false" outlineLevel="0" max="14084" min="14084" style="0" width="13.82"/>
    <col collapsed="false" customWidth="true" hidden="false" outlineLevel="0" max="14087" min="14085" style="0" width="11.45"/>
    <col collapsed="false" customWidth="true" hidden="false" outlineLevel="0" max="14088" min="14088" style="0" width="16.73"/>
    <col collapsed="false" customWidth="true" hidden="false" outlineLevel="0" max="14096" min="14089" style="0" width="11.45"/>
    <col collapsed="false" customWidth="true" hidden="false" outlineLevel="0" max="14097" min="14097" style="0" width="19"/>
    <col collapsed="false" customWidth="true" hidden="false" outlineLevel="0" max="14099" min="14098" style="0" width="11.45"/>
    <col collapsed="false" customWidth="true" hidden="false" outlineLevel="0" max="14100" min="14100" style="0" width="17.18"/>
    <col collapsed="false" customWidth="true" hidden="false" outlineLevel="0" max="14104" min="14101" style="0" width="11.45"/>
    <col collapsed="false" customWidth="true" hidden="false" outlineLevel="0" max="14105" min="14105" style="0" width="14.18"/>
    <col collapsed="false" customWidth="true" hidden="false" outlineLevel="0" max="14113" min="14106" style="0" width="11.45"/>
    <col collapsed="false" customWidth="true" hidden="false" outlineLevel="0" max="14114" min="14114" style="0" width="25"/>
    <col collapsed="false" customWidth="true" hidden="false" outlineLevel="0" max="14117" min="14115" style="0" width="10.73"/>
    <col collapsed="false" customWidth="true" hidden="false" outlineLevel="0" max="14124" min="14118" style="0" width="11.45"/>
    <col collapsed="false" customWidth="true" hidden="false" outlineLevel="0" max="14133" min="14125" style="0" width="10.73"/>
    <col collapsed="false" customWidth="true" hidden="false" outlineLevel="0" max="14337" min="14337" style="0" width="15.54"/>
    <col collapsed="false" customWidth="true" hidden="false" outlineLevel="0" max="14338" min="14338" style="0" width="10.73"/>
    <col collapsed="false" customWidth="true" hidden="false" outlineLevel="0" max="14339" min="14339" style="0" width="34.27"/>
    <col collapsed="false" customWidth="true" hidden="false" outlineLevel="0" max="14340" min="14340" style="0" width="13.82"/>
    <col collapsed="false" customWidth="true" hidden="false" outlineLevel="0" max="14343" min="14341" style="0" width="11.45"/>
    <col collapsed="false" customWidth="true" hidden="false" outlineLevel="0" max="14344" min="14344" style="0" width="16.73"/>
    <col collapsed="false" customWidth="true" hidden="false" outlineLevel="0" max="14352" min="14345" style="0" width="11.45"/>
    <col collapsed="false" customWidth="true" hidden="false" outlineLevel="0" max="14353" min="14353" style="0" width="19"/>
    <col collapsed="false" customWidth="true" hidden="false" outlineLevel="0" max="14355" min="14354" style="0" width="11.45"/>
    <col collapsed="false" customWidth="true" hidden="false" outlineLevel="0" max="14356" min="14356" style="0" width="17.18"/>
    <col collapsed="false" customWidth="true" hidden="false" outlineLevel="0" max="14360" min="14357" style="0" width="11.45"/>
    <col collapsed="false" customWidth="true" hidden="false" outlineLevel="0" max="14361" min="14361" style="0" width="14.18"/>
    <col collapsed="false" customWidth="true" hidden="false" outlineLevel="0" max="14369" min="14362" style="0" width="11.45"/>
    <col collapsed="false" customWidth="true" hidden="false" outlineLevel="0" max="14370" min="14370" style="0" width="25"/>
    <col collapsed="false" customWidth="true" hidden="false" outlineLevel="0" max="14373" min="14371" style="0" width="10.73"/>
    <col collapsed="false" customWidth="true" hidden="false" outlineLevel="0" max="14380" min="14374" style="0" width="11.45"/>
    <col collapsed="false" customWidth="true" hidden="false" outlineLevel="0" max="14389" min="14381" style="0" width="10.73"/>
    <col collapsed="false" customWidth="true" hidden="false" outlineLevel="0" max="14593" min="14593" style="0" width="15.54"/>
    <col collapsed="false" customWidth="true" hidden="false" outlineLevel="0" max="14594" min="14594" style="0" width="10.73"/>
    <col collapsed="false" customWidth="true" hidden="false" outlineLevel="0" max="14595" min="14595" style="0" width="34.27"/>
    <col collapsed="false" customWidth="true" hidden="false" outlineLevel="0" max="14596" min="14596" style="0" width="13.82"/>
    <col collapsed="false" customWidth="true" hidden="false" outlineLevel="0" max="14599" min="14597" style="0" width="11.45"/>
    <col collapsed="false" customWidth="true" hidden="false" outlineLevel="0" max="14600" min="14600" style="0" width="16.73"/>
    <col collapsed="false" customWidth="true" hidden="false" outlineLevel="0" max="14608" min="14601" style="0" width="11.45"/>
    <col collapsed="false" customWidth="true" hidden="false" outlineLevel="0" max="14609" min="14609" style="0" width="19"/>
    <col collapsed="false" customWidth="true" hidden="false" outlineLevel="0" max="14611" min="14610" style="0" width="11.45"/>
    <col collapsed="false" customWidth="true" hidden="false" outlineLevel="0" max="14612" min="14612" style="0" width="17.18"/>
    <col collapsed="false" customWidth="true" hidden="false" outlineLevel="0" max="14616" min="14613" style="0" width="11.45"/>
    <col collapsed="false" customWidth="true" hidden="false" outlineLevel="0" max="14617" min="14617" style="0" width="14.18"/>
    <col collapsed="false" customWidth="true" hidden="false" outlineLevel="0" max="14625" min="14618" style="0" width="11.45"/>
    <col collapsed="false" customWidth="true" hidden="false" outlineLevel="0" max="14626" min="14626" style="0" width="25"/>
    <col collapsed="false" customWidth="true" hidden="false" outlineLevel="0" max="14629" min="14627" style="0" width="10.73"/>
    <col collapsed="false" customWidth="true" hidden="false" outlineLevel="0" max="14636" min="14630" style="0" width="11.45"/>
    <col collapsed="false" customWidth="true" hidden="false" outlineLevel="0" max="14645" min="14637" style="0" width="10.73"/>
    <col collapsed="false" customWidth="true" hidden="false" outlineLevel="0" max="14849" min="14849" style="0" width="15.54"/>
    <col collapsed="false" customWidth="true" hidden="false" outlineLevel="0" max="14850" min="14850" style="0" width="10.73"/>
    <col collapsed="false" customWidth="true" hidden="false" outlineLevel="0" max="14851" min="14851" style="0" width="34.27"/>
    <col collapsed="false" customWidth="true" hidden="false" outlineLevel="0" max="14852" min="14852" style="0" width="13.82"/>
    <col collapsed="false" customWidth="true" hidden="false" outlineLevel="0" max="14855" min="14853" style="0" width="11.45"/>
    <col collapsed="false" customWidth="true" hidden="false" outlineLevel="0" max="14856" min="14856" style="0" width="16.73"/>
    <col collapsed="false" customWidth="true" hidden="false" outlineLevel="0" max="14864" min="14857" style="0" width="11.45"/>
    <col collapsed="false" customWidth="true" hidden="false" outlineLevel="0" max="14865" min="14865" style="0" width="19"/>
    <col collapsed="false" customWidth="true" hidden="false" outlineLevel="0" max="14867" min="14866" style="0" width="11.45"/>
    <col collapsed="false" customWidth="true" hidden="false" outlineLevel="0" max="14868" min="14868" style="0" width="17.18"/>
    <col collapsed="false" customWidth="true" hidden="false" outlineLevel="0" max="14872" min="14869" style="0" width="11.45"/>
    <col collapsed="false" customWidth="true" hidden="false" outlineLevel="0" max="14873" min="14873" style="0" width="14.18"/>
    <col collapsed="false" customWidth="true" hidden="false" outlineLevel="0" max="14881" min="14874" style="0" width="11.45"/>
    <col collapsed="false" customWidth="true" hidden="false" outlineLevel="0" max="14882" min="14882" style="0" width="25"/>
    <col collapsed="false" customWidth="true" hidden="false" outlineLevel="0" max="14885" min="14883" style="0" width="10.73"/>
    <col collapsed="false" customWidth="true" hidden="false" outlineLevel="0" max="14892" min="14886" style="0" width="11.45"/>
    <col collapsed="false" customWidth="true" hidden="false" outlineLevel="0" max="14901" min="14893" style="0" width="10.73"/>
    <col collapsed="false" customWidth="true" hidden="false" outlineLevel="0" max="15105" min="15105" style="0" width="15.54"/>
    <col collapsed="false" customWidth="true" hidden="false" outlineLevel="0" max="15106" min="15106" style="0" width="10.73"/>
    <col collapsed="false" customWidth="true" hidden="false" outlineLevel="0" max="15107" min="15107" style="0" width="34.27"/>
    <col collapsed="false" customWidth="true" hidden="false" outlineLevel="0" max="15108" min="15108" style="0" width="13.82"/>
    <col collapsed="false" customWidth="true" hidden="false" outlineLevel="0" max="15111" min="15109" style="0" width="11.45"/>
    <col collapsed="false" customWidth="true" hidden="false" outlineLevel="0" max="15112" min="15112" style="0" width="16.73"/>
    <col collapsed="false" customWidth="true" hidden="false" outlineLevel="0" max="15120" min="15113" style="0" width="11.45"/>
    <col collapsed="false" customWidth="true" hidden="false" outlineLevel="0" max="15121" min="15121" style="0" width="19"/>
    <col collapsed="false" customWidth="true" hidden="false" outlineLevel="0" max="15123" min="15122" style="0" width="11.45"/>
    <col collapsed="false" customWidth="true" hidden="false" outlineLevel="0" max="15124" min="15124" style="0" width="17.18"/>
    <col collapsed="false" customWidth="true" hidden="false" outlineLevel="0" max="15128" min="15125" style="0" width="11.45"/>
    <col collapsed="false" customWidth="true" hidden="false" outlineLevel="0" max="15129" min="15129" style="0" width="14.18"/>
    <col collapsed="false" customWidth="true" hidden="false" outlineLevel="0" max="15137" min="15130" style="0" width="11.45"/>
    <col collapsed="false" customWidth="true" hidden="false" outlineLevel="0" max="15138" min="15138" style="0" width="25"/>
    <col collapsed="false" customWidth="true" hidden="false" outlineLevel="0" max="15141" min="15139" style="0" width="10.73"/>
    <col collapsed="false" customWidth="true" hidden="false" outlineLevel="0" max="15148" min="15142" style="0" width="11.45"/>
    <col collapsed="false" customWidth="true" hidden="false" outlineLevel="0" max="15157" min="15149" style="0" width="10.73"/>
    <col collapsed="false" customWidth="true" hidden="false" outlineLevel="0" max="15361" min="15361" style="0" width="15.54"/>
    <col collapsed="false" customWidth="true" hidden="false" outlineLevel="0" max="15362" min="15362" style="0" width="10.73"/>
    <col collapsed="false" customWidth="true" hidden="false" outlineLevel="0" max="15363" min="15363" style="0" width="34.27"/>
    <col collapsed="false" customWidth="true" hidden="false" outlineLevel="0" max="15364" min="15364" style="0" width="13.82"/>
    <col collapsed="false" customWidth="true" hidden="false" outlineLevel="0" max="15367" min="15365" style="0" width="11.45"/>
    <col collapsed="false" customWidth="true" hidden="false" outlineLevel="0" max="15368" min="15368" style="0" width="16.73"/>
    <col collapsed="false" customWidth="true" hidden="false" outlineLevel="0" max="15376" min="15369" style="0" width="11.45"/>
    <col collapsed="false" customWidth="true" hidden="false" outlineLevel="0" max="15377" min="15377" style="0" width="19"/>
    <col collapsed="false" customWidth="true" hidden="false" outlineLevel="0" max="15379" min="15378" style="0" width="11.45"/>
    <col collapsed="false" customWidth="true" hidden="false" outlineLevel="0" max="15380" min="15380" style="0" width="17.18"/>
    <col collapsed="false" customWidth="true" hidden="false" outlineLevel="0" max="15384" min="15381" style="0" width="11.45"/>
    <col collapsed="false" customWidth="true" hidden="false" outlineLevel="0" max="15385" min="15385" style="0" width="14.18"/>
    <col collapsed="false" customWidth="true" hidden="false" outlineLevel="0" max="15393" min="15386" style="0" width="11.45"/>
    <col collapsed="false" customWidth="true" hidden="false" outlineLevel="0" max="15394" min="15394" style="0" width="25"/>
    <col collapsed="false" customWidth="true" hidden="false" outlineLevel="0" max="15397" min="15395" style="0" width="10.73"/>
    <col collapsed="false" customWidth="true" hidden="false" outlineLevel="0" max="15404" min="15398" style="0" width="11.45"/>
    <col collapsed="false" customWidth="true" hidden="false" outlineLevel="0" max="15413" min="15405" style="0" width="10.73"/>
    <col collapsed="false" customWidth="true" hidden="false" outlineLevel="0" max="15617" min="15617" style="0" width="15.54"/>
    <col collapsed="false" customWidth="true" hidden="false" outlineLevel="0" max="15618" min="15618" style="0" width="10.73"/>
    <col collapsed="false" customWidth="true" hidden="false" outlineLevel="0" max="15619" min="15619" style="0" width="34.27"/>
    <col collapsed="false" customWidth="true" hidden="false" outlineLevel="0" max="15620" min="15620" style="0" width="13.82"/>
    <col collapsed="false" customWidth="true" hidden="false" outlineLevel="0" max="15623" min="15621" style="0" width="11.45"/>
    <col collapsed="false" customWidth="true" hidden="false" outlineLevel="0" max="15624" min="15624" style="0" width="16.73"/>
    <col collapsed="false" customWidth="true" hidden="false" outlineLevel="0" max="15632" min="15625" style="0" width="11.45"/>
    <col collapsed="false" customWidth="true" hidden="false" outlineLevel="0" max="15633" min="15633" style="0" width="19"/>
    <col collapsed="false" customWidth="true" hidden="false" outlineLevel="0" max="15635" min="15634" style="0" width="11.45"/>
    <col collapsed="false" customWidth="true" hidden="false" outlineLevel="0" max="15636" min="15636" style="0" width="17.18"/>
    <col collapsed="false" customWidth="true" hidden="false" outlineLevel="0" max="15640" min="15637" style="0" width="11.45"/>
    <col collapsed="false" customWidth="true" hidden="false" outlineLevel="0" max="15641" min="15641" style="0" width="14.18"/>
    <col collapsed="false" customWidth="true" hidden="false" outlineLevel="0" max="15649" min="15642" style="0" width="11.45"/>
    <col collapsed="false" customWidth="true" hidden="false" outlineLevel="0" max="15650" min="15650" style="0" width="25"/>
    <col collapsed="false" customWidth="true" hidden="false" outlineLevel="0" max="15653" min="15651" style="0" width="10.73"/>
    <col collapsed="false" customWidth="true" hidden="false" outlineLevel="0" max="15660" min="15654" style="0" width="11.45"/>
    <col collapsed="false" customWidth="true" hidden="false" outlineLevel="0" max="15669" min="15661" style="0" width="10.73"/>
    <col collapsed="false" customWidth="true" hidden="false" outlineLevel="0" max="15873" min="15873" style="0" width="15.54"/>
    <col collapsed="false" customWidth="true" hidden="false" outlineLevel="0" max="15874" min="15874" style="0" width="10.73"/>
    <col collapsed="false" customWidth="true" hidden="false" outlineLevel="0" max="15875" min="15875" style="0" width="34.27"/>
    <col collapsed="false" customWidth="true" hidden="false" outlineLevel="0" max="15876" min="15876" style="0" width="13.82"/>
    <col collapsed="false" customWidth="true" hidden="false" outlineLevel="0" max="15879" min="15877" style="0" width="11.45"/>
    <col collapsed="false" customWidth="true" hidden="false" outlineLevel="0" max="15880" min="15880" style="0" width="16.73"/>
    <col collapsed="false" customWidth="true" hidden="false" outlineLevel="0" max="15888" min="15881" style="0" width="11.45"/>
    <col collapsed="false" customWidth="true" hidden="false" outlineLevel="0" max="15889" min="15889" style="0" width="19"/>
    <col collapsed="false" customWidth="true" hidden="false" outlineLevel="0" max="15891" min="15890" style="0" width="11.45"/>
    <col collapsed="false" customWidth="true" hidden="false" outlineLevel="0" max="15892" min="15892" style="0" width="17.18"/>
    <col collapsed="false" customWidth="true" hidden="false" outlineLevel="0" max="15896" min="15893" style="0" width="11.45"/>
    <col collapsed="false" customWidth="true" hidden="false" outlineLevel="0" max="15897" min="15897" style="0" width="14.18"/>
    <col collapsed="false" customWidth="true" hidden="false" outlineLevel="0" max="15905" min="15898" style="0" width="11.45"/>
    <col collapsed="false" customWidth="true" hidden="false" outlineLevel="0" max="15906" min="15906" style="0" width="25"/>
    <col collapsed="false" customWidth="true" hidden="false" outlineLevel="0" max="15909" min="15907" style="0" width="10.73"/>
    <col collapsed="false" customWidth="true" hidden="false" outlineLevel="0" max="15916" min="15910" style="0" width="11.45"/>
    <col collapsed="false" customWidth="true" hidden="false" outlineLevel="0" max="15925" min="15917" style="0" width="10.73"/>
    <col collapsed="false" customWidth="true" hidden="false" outlineLevel="0" max="16129" min="16129" style="0" width="15.54"/>
    <col collapsed="false" customWidth="true" hidden="false" outlineLevel="0" max="16130" min="16130" style="0" width="10.73"/>
    <col collapsed="false" customWidth="true" hidden="false" outlineLevel="0" max="16131" min="16131" style="0" width="34.27"/>
    <col collapsed="false" customWidth="true" hidden="false" outlineLevel="0" max="16132" min="16132" style="0" width="13.82"/>
    <col collapsed="false" customWidth="true" hidden="false" outlineLevel="0" max="16135" min="16133" style="0" width="11.45"/>
    <col collapsed="false" customWidth="true" hidden="false" outlineLevel="0" max="16136" min="16136" style="0" width="16.73"/>
    <col collapsed="false" customWidth="true" hidden="false" outlineLevel="0" max="16144" min="16137" style="0" width="11.45"/>
    <col collapsed="false" customWidth="true" hidden="false" outlineLevel="0" max="16145" min="16145" style="0" width="19"/>
    <col collapsed="false" customWidth="true" hidden="false" outlineLevel="0" max="16147" min="16146" style="0" width="11.45"/>
    <col collapsed="false" customWidth="true" hidden="false" outlineLevel="0" max="16148" min="16148" style="0" width="17.18"/>
    <col collapsed="false" customWidth="true" hidden="false" outlineLevel="0" max="16152" min="16149" style="0" width="11.45"/>
    <col collapsed="false" customWidth="true" hidden="false" outlineLevel="0" max="16153" min="16153" style="0" width="14.18"/>
    <col collapsed="false" customWidth="true" hidden="false" outlineLevel="0" max="16161" min="16154" style="0" width="11.45"/>
    <col collapsed="false" customWidth="true" hidden="false" outlineLevel="0" max="16162" min="16162" style="0" width="25"/>
    <col collapsed="false" customWidth="true" hidden="false" outlineLevel="0" max="16165" min="16163" style="0" width="10.73"/>
    <col collapsed="false" customWidth="true" hidden="false" outlineLevel="0" max="16172" min="16166" style="0" width="11.45"/>
    <col collapsed="false" customWidth="true" hidden="false" outlineLevel="0" max="16181" min="16173" style="0" width="10.73"/>
  </cols>
  <sheetData>
    <row r="1" customFormat="false" ht="14.25" hidden="false" customHeight="false" outlineLevel="0" collapsed="false">
      <c r="A1" s="1" t="s">
        <v>0</v>
      </c>
      <c r="B1" s="2" t="n">
        <v>4420</v>
      </c>
      <c r="D1" s="3" t="s">
        <v>1</v>
      </c>
      <c r="E1" s="2" t="n">
        <f aca="false">F49+AG49</f>
        <v>250000</v>
      </c>
    </row>
    <row r="2" customFormat="false" ht="14.25" hidden="false" customHeight="false" outlineLevel="0" collapsed="false">
      <c r="A2" s="1" t="s">
        <v>2</v>
      </c>
      <c r="B2" s="2"/>
      <c r="D2" s="3" t="s">
        <v>3</v>
      </c>
      <c r="E2" s="2" t="n">
        <f aca="false">I49</f>
        <v>180000</v>
      </c>
      <c r="K2" s="4" t="n">
        <v>1</v>
      </c>
      <c r="L2" s="5" t="n">
        <f aca="false">I6+I9</f>
        <v>7307.30316742081</v>
      </c>
    </row>
    <row r="3" customFormat="false" ht="14.25" hidden="false" customHeight="false" outlineLevel="0" collapsed="false">
      <c r="A3" s="1" t="s">
        <v>4</v>
      </c>
      <c r="B3" s="2"/>
      <c r="D3" s="3" t="s">
        <v>5</v>
      </c>
      <c r="E3" s="2" t="n">
        <f aca="false">L49</f>
        <v>540000</v>
      </c>
      <c r="H3" s="6" t="s">
        <v>6</v>
      </c>
      <c r="I3" s="7" t="n">
        <f aca="false">E11+F14</f>
        <v>26047000</v>
      </c>
      <c r="K3" s="4" t="n">
        <v>2</v>
      </c>
      <c r="L3" s="5" t="n">
        <f aca="false">L2/K3</f>
        <v>3653.65158371041</v>
      </c>
    </row>
    <row r="4" customFormat="false" ht="14.25" hidden="false" customHeight="false" outlineLevel="0" collapsed="false">
      <c r="A4" s="1" t="s">
        <v>7</v>
      </c>
      <c r="B4" s="2"/>
      <c r="D4" s="3" t="s">
        <v>8</v>
      </c>
      <c r="E4" s="2" t="n">
        <f aca="false">O49</f>
        <v>4802000</v>
      </c>
      <c r="H4" s="8" t="s">
        <v>9</v>
      </c>
      <c r="I4" s="9" t="n">
        <f aca="false">I3*24%</f>
        <v>6251280</v>
      </c>
      <c r="K4" s="4" t="n">
        <v>3</v>
      </c>
      <c r="L4" s="5" t="n">
        <f aca="false">I6/K4</f>
        <v>2435.76772247361</v>
      </c>
    </row>
    <row r="5" customFormat="false" ht="14.25" hidden="false" customHeight="false" outlineLevel="0" collapsed="false">
      <c r="A5" s="1" t="s">
        <v>10</v>
      </c>
      <c r="B5" s="2"/>
      <c r="D5" s="3" t="s">
        <v>11</v>
      </c>
      <c r="E5" s="2" t="n">
        <f aca="false">S49</f>
        <v>3850000</v>
      </c>
      <c r="H5" s="8" t="s">
        <v>12</v>
      </c>
      <c r="I5" s="9" t="n">
        <f aca="false">I3+I4</f>
        <v>32298280</v>
      </c>
      <c r="K5" s="4" t="n">
        <v>4</v>
      </c>
      <c r="L5" s="10" t="n">
        <f aca="false">I6/K5</f>
        <v>1826.8257918552</v>
      </c>
    </row>
    <row r="6" customFormat="false" ht="14.25" hidden="false" customHeight="false" outlineLevel="0" collapsed="false">
      <c r="A6" s="1" t="s">
        <v>13</v>
      </c>
      <c r="B6" s="2"/>
      <c r="D6" s="3" t="s">
        <v>14</v>
      </c>
      <c r="E6" s="2" t="n">
        <f aca="false">P54</f>
        <v>3952000</v>
      </c>
      <c r="H6" s="11" t="s">
        <v>15</v>
      </c>
      <c r="I6" s="12" t="n">
        <f aca="false">I5/B1</f>
        <v>7307.30316742081</v>
      </c>
      <c r="K6" s="4" t="n">
        <v>5</v>
      </c>
      <c r="L6" s="5" t="n">
        <f aca="false">I6/K6</f>
        <v>1461.46063348416</v>
      </c>
    </row>
    <row r="7" customFormat="false" ht="14.25" hidden="false" customHeight="false" outlineLevel="0" collapsed="false">
      <c r="A7" s="1" t="s">
        <v>16</v>
      </c>
      <c r="B7" s="2"/>
      <c r="D7" s="3" t="s">
        <v>17</v>
      </c>
      <c r="E7" s="2" t="n">
        <f aca="false">W49+X49</f>
        <v>1230000</v>
      </c>
      <c r="K7" s="4" t="n">
        <v>6</v>
      </c>
      <c r="L7" s="5" t="n">
        <f aca="false">I6/K7</f>
        <v>1217.8838612368</v>
      </c>
    </row>
    <row r="8" customFormat="false" ht="14.25" hidden="false" customHeight="false" outlineLevel="0" collapsed="false">
      <c r="A8" s="13" t="s">
        <v>18</v>
      </c>
      <c r="B8" s="14"/>
      <c r="D8" s="3" t="s">
        <v>19</v>
      </c>
      <c r="E8" s="2" t="n">
        <f aca="false">AB49+AC49</f>
        <v>2165000</v>
      </c>
      <c r="H8" s="4"/>
      <c r="I8" s="4"/>
      <c r="K8" s="4" t="n">
        <v>7</v>
      </c>
      <c r="L8" s="5" t="n">
        <f aca="false">I6/K8</f>
        <v>1043.90045248869</v>
      </c>
    </row>
    <row r="9" customFormat="false" ht="14.25" hidden="false" customHeight="false" outlineLevel="0" collapsed="false">
      <c r="A9" s="14"/>
      <c r="B9" s="14"/>
      <c r="D9" s="3" t="s">
        <v>20</v>
      </c>
      <c r="E9" s="2" t="n">
        <f aca="false">AK49+AR49+AO49</f>
        <v>6928000</v>
      </c>
      <c r="H9" s="15"/>
      <c r="I9" s="16"/>
      <c r="K9" s="17" t="n">
        <v>8</v>
      </c>
      <c r="L9" s="10" t="n">
        <f aca="false">I6/8</f>
        <v>913.412895927602</v>
      </c>
    </row>
    <row r="10" customFormat="false" ht="14.25" hidden="false" customHeight="false" outlineLevel="0" collapsed="false">
      <c r="A10" s="14"/>
      <c r="B10" s="14"/>
      <c r="D10" s="3" t="s">
        <v>21</v>
      </c>
      <c r="E10" s="2" t="n">
        <f aca="false">AU49+AX49+BA49</f>
        <v>1550000</v>
      </c>
      <c r="K10" s="4" t="n">
        <v>9</v>
      </c>
      <c r="L10" s="5" t="n">
        <f aca="false">I6/K10</f>
        <v>811.922574157868</v>
      </c>
    </row>
    <row r="11" customFormat="false" ht="14.25" hidden="false" customHeight="false" outlineLevel="0" collapsed="false">
      <c r="A11" s="14"/>
      <c r="B11" s="14"/>
      <c r="D11" s="18" t="s">
        <v>22</v>
      </c>
      <c r="E11" s="19" t="n">
        <f aca="false">SUM(E1:E10)</f>
        <v>25447000</v>
      </c>
      <c r="K11" s="4" t="n">
        <v>10</v>
      </c>
      <c r="L11" s="5" t="n">
        <f aca="false">I6/K11</f>
        <v>730.730316742081</v>
      </c>
    </row>
    <row r="12" customFormat="false" ht="14.25" hidden="false" customHeight="false" outlineLevel="0" collapsed="false">
      <c r="A12" s="14"/>
      <c r="B12" s="14"/>
      <c r="K12" s="4" t="n">
        <v>11</v>
      </c>
      <c r="L12" s="5" t="n">
        <f aca="false">I6/11</f>
        <v>664.300287947347</v>
      </c>
    </row>
    <row r="13" customFormat="false" ht="14.25" hidden="false" customHeight="false" outlineLevel="0" collapsed="false">
      <c r="D13" s="20" t="s">
        <v>23</v>
      </c>
      <c r="E13" s="20" t="s">
        <v>24</v>
      </c>
      <c r="F13" s="20" t="s">
        <v>25</v>
      </c>
      <c r="K13" s="4" t="n">
        <v>12</v>
      </c>
      <c r="L13" s="5" t="n">
        <f aca="false">I6/K13</f>
        <v>608.941930618401</v>
      </c>
    </row>
    <row r="14" customFormat="false" ht="14.25" hidden="false" customHeight="false" outlineLevel="0" collapsed="false">
      <c r="D14" s="21" t="n">
        <v>150000</v>
      </c>
      <c r="E14" s="21" t="n">
        <v>4</v>
      </c>
      <c r="F14" s="21" t="n">
        <f aca="false">D14*E14</f>
        <v>600000</v>
      </c>
      <c r="K14" s="4" t="n">
        <v>13</v>
      </c>
      <c r="L14" s="5" t="n">
        <f aca="false">I6/K14</f>
        <v>562.100243647755</v>
      </c>
    </row>
    <row r="15" customFormat="false" ht="14.25" hidden="false" customHeight="false" outlineLevel="0" collapsed="false">
      <c r="I15" s="0" t="s">
        <v>26</v>
      </c>
      <c r="K15" s="4" t="n">
        <v>14</v>
      </c>
      <c r="L15" s="5" t="n">
        <f aca="false">I6/K15</f>
        <v>521.950226244344</v>
      </c>
    </row>
    <row r="16" customFormat="false" ht="14.25" hidden="false" customHeight="false" outlineLevel="0" collapsed="false">
      <c r="K16" s="4" t="n">
        <v>15</v>
      </c>
      <c r="L16" s="5" t="n">
        <f aca="false">I6/K16</f>
        <v>487.153544494721</v>
      </c>
    </row>
    <row r="17" customFormat="false" ht="14.25" hidden="false" customHeight="false" outlineLevel="0" collapsed="false">
      <c r="K17" s="4" t="n">
        <v>16</v>
      </c>
      <c r="L17" s="5" t="n">
        <f aca="false">I6/K17</f>
        <v>456.706447963801</v>
      </c>
    </row>
    <row r="18" customFormat="false" ht="15" hidden="false" customHeight="true" outlineLevel="0" collapsed="false"/>
    <row r="19" customFormat="false" ht="14.25" hidden="false" customHeight="false" outlineLevel="0" collapsed="false">
      <c r="A19" s="22" t="s">
        <v>27</v>
      </c>
      <c r="B19" s="23" t="s">
        <v>28</v>
      </c>
      <c r="C19" s="24" t="s">
        <v>29</v>
      </c>
      <c r="D19" s="25" t="s">
        <v>30</v>
      </c>
      <c r="E19" s="25" t="s">
        <v>31</v>
      </c>
      <c r="F19" s="25" t="s">
        <v>25</v>
      </c>
      <c r="G19" s="26" t="s">
        <v>3</v>
      </c>
      <c r="H19" s="26" t="s">
        <v>24</v>
      </c>
      <c r="I19" s="26" t="s">
        <v>25</v>
      </c>
      <c r="J19" s="27" t="s">
        <v>32</v>
      </c>
      <c r="K19" s="27" t="s">
        <v>33</v>
      </c>
      <c r="L19" s="27" t="s">
        <v>34</v>
      </c>
      <c r="M19" s="28" t="s">
        <v>35</v>
      </c>
      <c r="N19" s="29" t="s">
        <v>24</v>
      </c>
      <c r="O19" s="30" t="s">
        <v>34</v>
      </c>
      <c r="P19" s="31" t="s">
        <v>36</v>
      </c>
      <c r="Q19" s="32" t="s">
        <v>11</v>
      </c>
      <c r="R19" s="33" t="s">
        <v>37</v>
      </c>
      <c r="S19" s="34" t="s">
        <v>25</v>
      </c>
      <c r="T19" s="35" t="s">
        <v>38</v>
      </c>
      <c r="U19" s="35" t="s">
        <v>39</v>
      </c>
      <c r="V19" s="35" t="s">
        <v>24</v>
      </c>
      <c r="W19" s="35" t="s">
        <v>34</v>
      </c>
      <c r="X19" s="35" t="s">
        <v>11</v>
      </c>
      <c r="Y19" s="26" t="s">
        <v>40</v>
      </c>
      <c r="Z19" s="26" t="s">
        <v>41</v>
      </c>
      <c r="AA19" s="26" t="s">
        <v>24</v>
      </c>
      <c r="AB19" s="26" t="s">
        <v>34</v>
      </c>
      <c r="AC19" s="26" t="s">
        <v>11</v>
      </c>
      <c r="AD19" s="36"/>
      <c r="AE19" s="37" t="s">
        <v>42</v>
      </c>
      <c r="AF19" s="37" t="s">
        <v>33</v>
      </c>
      <c r="AG19" s="37" t="s">
        <v>34</v>
      </c>
      <c r="AH19" s="37" t="s">
        <v>43</v>
      </c>
      <c r="AI19" s="38" t="s">
        <v>44</v>
      </c>
      <c r="AJ19" s="38" t="s">
        <v>33</v>
      </c>
      <c r="AK19" s="38" t="s">
        <v>34</v>
      </c>
      <c r="AL19" s="38" t="s">
        <v>45</v>
      </c>
      <c r="AM19" s="38"/>
      <c r="AN19" s="38"/>
      <c r="AO19" s="38"/>
      <c r="AP19" s="39" t="s">
        <v>46</v>
      </c>
      <c r="AQ19" s="40" t="s">
        <v>47</v>
      </c>
      <c r="AR19" s="41" t="s">
        <v>34</v>
      </c>
      <c r="AS19" s="42" t="s">
        <v>48</v>
      </c>
      <c r="AT19" s="43" t="s">
        <v>33</v>
      </c>
      <c r="AU19" s="44" t="s">
        <v>34</v>
      </c>
      <c r="AV19" s="37" t="s">
        <v>49</v>
      </c>
      <c r="AW19" s="37" t="s">
        <v>24</v>
      </c>
      <c r="AX19" s="37" t="s">
        <v>25</v>
      </c>
      <c r="AY19" s="45" t="s">
        <v>50</v>
      </c>
      <c r="AZ19" s="46" t="s">
        <v>37</v>
      </c>
      <c r="BA19" s="47" t="s">
        <v>34</v>
      </c>
    </row>
    <row r="20" customFormat="false" ht="14.25" hidden="false" customHeight="false" outlineLevel="0" collapsed="false">
      <c r="D20" s="8" t="n">
        <v>250000</v>
      </c>
      <c r="E20" s="2"/>
      <c r="F20" s="9" t="n">
        <f aca="false">D20*E20</f>
        <v>0</v>
      </c>
      <c r="G20" s="6"/>
      <c r="H20" s="48"/>
      <c r="I20" s="2" t="n">
        <f aca="false">G20*H20</f>
        <v>0</v>
      </c>
      <c r="J20" s="6" t="n">
        <v>225000</v>
      </c>
      <c r="K20" s="48" t="n">
        <v>2</v>
      </c>
      <c r="L20" s="49" t="n">
        <f aca="false">J20*K20</f>
        <v>450000</v>
      </c>
      <c r="M20" s="8" t="n">
        <f aca="false">70*4900</f>
        <v>343000</v>
      </c>
      <c r="N20" s="50" t="n">
        <v>14</v>
      </c>
      <c r="O20" s="51" t="n">
        <f aca="false">M20*N20</f>
        <v>4802000</v>
      </c>
      <c r="P20" s="52"/>
      <c r="Q20" s="8" t="n">
        <v>275000</v>
      </c>
      <c r="R20" s="2" t="n">
        <v>14</v>
      </c>
      <c r="S20" s="9" t="n">
        <f aca="false">Q20*R20</f>
        <v>3850000</v>
      </c>
      <c r="T20" s="6"/>
      <c r="U20" s="53"/>
      <c r="V20" s="50"/>
      <c r="W20" s="51" t="n">
        <f aca="false">U20*V20</f>
        <v>0</v>
      </c>
      <c r="X20" s="54"/>
      <c r="Y20" s="6"/>
      <c r="Z20" s="53"/>
      <c r="AA20" s="50"/>
      <c r="AB20" s="51" t="n">
        <f aca="false">Z20*AA20</f>
        <v>0</v>
      </c>
      <c r="AC20" s="54"/>
      <c r="AD20" s="55"/>
      <c r="AE20" s="53"/>
      <c r="AF20" s="50"/>
      <c r="AG20" s="51" t="n">
        <f aca="false">AE20*AF20</f>
        <v>0</v>
      </c>
      <c r="AH20" s="56"/>
      <c r="AI20" s="57"/>
      <c r="AJ20" s="50"/>
      <c r="AK20" s="51" t="n">
        <f aca="false">AI20*AJ20</f>
        <v>0</v>
      </c>
      <c r="AL20" s="58"/>
      <c r="AM20" s="54"/>
      <c r="AN20" s="54"/>
      <c r="AO20" s="54" t="n">
        <f aca="false">AM20*AN20</f>
        <v>0</v>
      </c>
      <c r="AP20" s="55" t="n">
        <v>5000</v>
      </c>
      <c r="AQ20" s="50" t="n">
        <v>2</v>
      </c>
      <c r="AR20" s="51" t="n">
        <f aca="false">AP20*AQ20</f>
        <v>10000</v>
      </c>
      <c r="AS20" s="55" t="n">
        <v>25000</v>
      </c>
      <c r="AT20" s="50"/>
      <c r="AU20" s="51" t="n">
        <f aca="false">AS20*AT20</f>
        <v>0</v>
      </c>
      <c r="AV20" s="55"/>
      <c r="AW20" s="50"/>
      <c r="AX20" s="51" t="n">
        <f aca="false">AV20*AW20</f>
        <v>0</v>
      </c>
      <c r="AY20" s="55"/>
      <c r="AZ20" s="50"/>
      <c r="BA20" s="51" t="n">
        <f aca="false">AY20*AZ20</f>
        <v>0</v>
      </c>
    </row>
    <row r="21" customFormat="false" ht="15.75" hidden="false" customHeight="true" outlineLevel="0" collapsed="false">
      <c r="A21" s="0" t="n">
        <v>1</v>
      </c>
      <c r="B21" s="0" t="n">
        <v>17</v>
      </c>
      <c r="C21" s="59" t="s">
        <v>51</v>
      </c>
      <c r="D21" s="8"/>
      <c r="E21" s="2"/>
      <c r="F21" s="9" t="n">
        <f aca="false">D21*E21</f>
        <v>0</v>
      </c>
      <c r="G21" s="8"/>
      <c r="H21" s="2"/>
      <c r="I21" s="2" t="n">
        <f aca="false">G21*H21</f>
        <v>0</v>
      </c>
      <c r="J21" s="8" t="n">
        <v>45000</v>
      </c>
      <c r="K21" s="2" t="n">
        <v>2</v>
      </c>
      <c r="L21" s="60" t="n">
        <f aca="false">J21*K21</f>
        <v>90000</v>
      </c>
      <c r="M21" s="8"/>
      <c r="N21" s="2"/>
      <c r="O21" s="9"/>
      <c r="P21" s="52" t="n">
        <f aca="false">1400*3</f>
        <v>4200</v>
      </c>
      <c r="Q21" s="8"/>
      <c r="R21" s="2"/>
      <c r="S21" s="9" t="n">
        <f aca="false">Q21*R21</f>
        <v>0</v>
      </c>
      <c r="T21" s="8" t="s">
        <v>52</v>
      </c>
      <c r="U21" s="57" t="n">
        <v>10000</v>
      </c>
      <c r="V21" s="2" t="n">
        <v>2</v>
      </c>
      <c r="W21" s="9" t="n">
        <f aca="false">U21*V21</f>
        <v>20000</v>
      </c>
      <c r="X21" s="61"/>
      <c r="Y21" s="8"/>
      <c r="Z21" s="57"/>
      <c r="AA21" s="2"/>
      <c r="AB21" s="51" t="n">
        <f aca="false">Z21*AA21</f>
        <v>0</v>
      </c>
      <c r="AC21" s="54"/>
      <c r="AD21" s="55"/>
      <c r="AE21" s="57"/>
      <c r="AF21" s="2"/>
      <c r="AG21" s="51" t="n">
        <f aca="false">AE21*AF21</f>
        <v>0</v>
      </c>
      <c r="AH21" s="59" t="s">
        <v>53</v>
      </c>
      <c r="AI21" s="57" t="n">
        <v>192000</v>
      </c>
      <c r="AJ21" s="50" t="n">
        <v>2</v>
      </c>
      <c r="AK21" s="51" t="n">
        <f aca="false">AI21*AJ21</f>
        <v>384000</v>
      </c>
      <c r="AM21" s="54"/>
      <c r="AN21" s="54"/>
      <c r="AO21" s="54" t="n">
        <f aca="false">AM21*AN21</f>
        <v>0</v>
      </c>
      <c r="AP21" s="55" t="n">
        <v>5000</v>
      </c>
      <c r="AQ21" s="50" t="n">
        <v>2</v>
      </c>
      <c r="AR21" s="51" t="n">
        <f aca="false">AP21*AQ21</f>
        <v>10000</v>
      </c>
      <c r="AS21" s="55" t="n">
        <v>25000</v>
      </c>
      <c r="AT21" s="50" t="n">
        <v>4</v>
      </c>
      <c r="AU21" s="51" t="n">
        <f aca="false">AS21*AT21</f>
        <v>100000</v>
      </c>
      <c r="AV21" s="8"/>
      <c r="AW21" s="2"/>
      <c r="AX21" s="51" t="n">
        <f aca="false">AV21*AW21</f>
        <v>0</v>
      </c>
      <c r="AY21" s="8"/>
      <c r="AZ21" s="2"/>
      <c r="BA21" s="51" t="n">
        <f aca="false">AY21*AZ21</f>
        <v>0</v>
      </c>
    </row>
    <row r="22" customFormat="false" ht="15.75" hidden="false" customHeight="true" outlineLevel="0" collapsed="false">
      <c r="A22" s="0" t="n">
        <v>2</v>
      </c>
      <c r="B22" s="8" t="n">
        <v>18</v>
      </c>
      <c r="C22" s="62" t="s">
        <v>54</v>
      </c>
      <c r="D22" s="8"/>
      <c r="E22" s="2"/>
      <c r="F22" s="9" t="n">
        <f aca="false">D22*E22</f>
        <v>0</v>
      </c>
      <c r="G22" s="8" t="n">
        <v>45000</v>
      </c>
      <c r="H22" s="2" t="n">
        <v>4</v>
      </c>
      <c r="I22" s="2" t="n">
        <f aca="false">G22*H22</f>
        <v>180000</v>
      </c>
      <c r="J22" s="8"/>
      <c r="K22" s="2"/>
      <c r="L22" s="60" t="n">
        <f aca="false">J22*K22</f>
        <v>0</v>
      </c>
      <c r="M22" s="8"/>
      <c r="N22" s="2"/>
      <c r="O22" s="9"/>
      <c r="P22" s="52"/>
      <c r="Q22" s="8"/>
      <c r="R22" s="2"/>
      <c r="S22" s="9" t="n">
        <f aca="false">Q22*R22</f>
        <v>0</v>
      </c>
      <c r="T22" s="8" t="s">
        <v>55</v>
      </c>
      <c r="U22" s="57" t="n">
        <v>65000</v>
      </c>
      <c r="V22" s="2" t="n">
        <v>4</v>
      </c>
      <c r="W22" s="9" t="n">
        <f aca="false">U22*V22</f>
        <v>260000</v>
      </c>
      <c r="X22" s="61" t="n">
        <v>30000</v>
      </c>
      <c r="Y22" s="8"/>
      <c r="Z22" s="57"/>
      <c r="AA22" s="2"/>
      <c r="AB22" s="51" t="n">
        <f aca="false">Z22*AA22</f>
        <v>0</v>
      </c>
      <c r="AC22" s="54"/>
      <c r="AD22" s="55"/>
      <c r="AE22" s="57"/>
      <c r="AF22" s="2"/>
      <c r="AG22" s="51" t="n">
        <f aca="false">AE22*AF22</f>
        <v>0</v>
      </c>
      <c r="AH22" s="62" t="s">
        <v>53</v>
      </c>
      <c r="AI22" s="57" t="n">
        <v>192000</v>
      </c>
      <c r="AJ22" s="50" t="n">
        <v>2</v>
      </c>
      <c r="AK22" s="51" t="n">
        <f aca="false">AI22*AJ22</f>
        <v>384000</v>
      </c>
      <c r="AM22" s="54"/>
      <c r="AN22" s="54"/>
      <c r="AO22" s="54" t="n">
        <f aca="false">AM22*AN22</f>
        <v>0</v>
      </c>
      <c r="AP22" s="55" t="n">
        <v>5000</v>
      </c>
      <c r="AQ22" s="50" t="n">
        <v>2</v>
      </c>
      <c r="AR22" s="51" t="n">
        <f aca="false">AP22*AQ22</f>
        <v>10000</v>
      </c>
      <c r="AS22" s="55" t="n">
        <v>25000</v>
      </c>
      <c r="AT22" s="50" t="n">
        <v>4</v>
      </c>
      <c r="AU22" s="51" t="n">
        <f aca="false">AS22*AT22</f>
        <v>100000</v>
      </c>
      <c r="AV22" s="8"/>
      <c r="AW22" s="2"/>
      <c r="AX22" s="51" t="n">
        <f aca="false">AV22*AW22</f>
        <v>0</v>
      </c>
      <c r="AY22" s="8"/>
      <c r="AZ22" s="2"/>
      <c r="BA22" s="51" t="n">
        <f aca="false">AY22*AZ22</f>
        <v>0</v>
      </c>
    </row>
    <row r="23" customFormat="false" ht="15.75" hidden="false" customHeight="true" outlineLevel="0" collapsed="false">
      <c r="A23" s="0" t="n">
        <v>3</v>
      </c>
      <c r="B23" s="63" t="n">
        <v>19</v>
      </c>
      <c r="C23" s="59" t="s">
        <v>56</v>
      </c>
      <c r="D23" s="8"/>
      <c r="E23" s="2"/>
      <c r="F23" s="9" t="n">
        <f aca="false">D23*E23</f>
        <v>0</v>
      </c>
      <c r="G23" s="8"/>
      <c r="H23" s="2"/>
      <c r="I23" s="2" t="n">
        <f aca="false">G23*H23</f>
        <v>0</v>
      </c>
      <c r="J23" s="8"/>
      <c r="K23" s="2"/>
      <c r="L23" s="60" t="n">
        <f aca="false">J23*K23</f>
        <v>0</v>
      </c>
      <c r="M23" s="8"/>
      <c r="N23" s="2"/>
      <c r="O23" s="9"/>
      <c r="P23" s="52" t="n">
        <f aca="false">-400</f>
        <v>-400</v>
      </c>
      <c r="Q23" s="8"/>
      <c r="R23" s="2"/>
      <c r="S23" s="9" t="n">
        <f aca="false">Q23*R23</f>
        <v>0</v>
      </c>
      <c r="T23" s="8" t="s">
        <v>57</v>
      </c>
      <c r="U23" s="57" t="n">
        <v>20000</v>
      </c>
      <c r="V23" s="2" t="n">
        <v>1</v>
      </c>
      <c r="W23" s="9" t="n">
        <f aca="false">U23*V23</f>
        <v>20000</v>
      </c>
      <c r="X23" s="61"/>
      <c r="Y23" s="8"/>
      <c r="Z23" s="57"/>
      <c r="AA23" s="2"/>
      <c r="AB23" s="51" t="n">
        <f aca="false">Z23*AA23</f>
        <v>0</v>
      </c>
      <c r="AC23" s="54"/>
      <c r="AD23" s="55"/>
      <c r="AE23" s="57"/>
      <c r="AF23" s="2"/>
      <c r="AG23" s="51" t="n">
        <f aca="false">AE23*AF23</f>
        <v>0</v>
      </c>
      <c r="AH23" s="64" t="s">
        <v>58</v>
      </c>
      <c r="AI23" s="53" t="n">
        <v>270000</v>
      </c>
      <c r="AJ23" s="50" t="n">
        <v>2</v>
      </c>
      <c r="AK23" s="51" t="n">
        <f aca="false">AI23*AJ23</f>
        <v>540000</v>
      </c>
      <c r="AL23" s="65"/>
      <c r="AM23" s="54" t="n">
        <v>172000</v>
      </c>
      <c r="AN23" s="54" t="n">
        <v>0</v>
      </c>
      <c r="AO23" s="54" t="n">
        <f aca="false">AM23*AN23</f>
        <v>0</v>
      </c>
      <c r="AP23" s="55" t="n">
        <v>5000</v>
      </c>
      <c r="AQ23" s="50" t="n">
        <v>2</v>
      </c>
      <c r="AR23" s="51" t="n">
        <f aca="false">AP23*AQ23</f>
        <v>10000</v>
      </c>
      <c r="AS23" s="55" t="n">
        <v>65000</v>
      </c>
      <c r="AT23" s="50" t="n">
        <v>5</v>
      </c>
      <c r="AU23" s="51" t="n">
        <f aca="false">AS23*AT23</f>
        <v>325000</v>
      </c>
      <c r="AV23" s="8"/>
      <c r="AW23" s="2"/>
      <c r="AX23" s="51" t="n">
        <f aca="false">AV23*AW23</f>
        <v>0</v>
      </c>
      <c r="AY23" s="8"/>
      <c r="AZ23" s="2"/>
      <c r="BA23" s="51" t="n">
        <f aca="false">AY23*AZ23</f>
        <v>0</v>
      </c>
    </row>
    <row r="24" customFormat="false" ht="15.75" hidden="false" customHeight="true" outlineLevel="0" collapsed="false">
      <c r="A24" s="0" t="n">
        <v>4</v>
      </c>
      <c r="B24" s="63" t="n">
        <v>20</v>
      </c>
      <c r="C24" s="62" t="s">
        <v>59</v>
      </c>
      <c r="D24" s="8"/>
      <c r="E24" s="2"/>
      <c r="F24" s="9" t="n">
        <f aca="false">D24*E24</f>
        <v>0</v>
      </c>
      <c r="G24" s="8"/>
      <c r="H24" s="2"/>
      <c r="I24" s="2" t="n">
        <f aca="false">G24*H24</f>
        <v>0</v>
      </c>
      <c r="J24" s="8"/>
      <c r="K24" s="2"/>
      <c r="L24" s="60" t="n">
        <f aca="false">J24*K24</f>
        <v>0</v>
      </c>
      <c r="M24" s="8"/>
      <c r="N24" s="2"/>
      <c r="O24" s="9"/>
      <c r="P24" s="66"/>
      <c r="Q24" s="8"/>
      <c r="R24" s="2"/>
      <c r="S24" s="9" t="n">
        <f aca="false">Q24*R24</f>
        <v>0</v>
      </c>
      <c r="T24" s="8"/>
      <c r="U24" s="57"/>
      <c r="V24" s="2" t="n">
        <v>0</v>
      </c>
      <c r="W24" s="9" t="n">
        <f aca="false">U24*V24</f>
        <v>0</v>
      </c>
      <c r="X24" s="61"/>
      <c r="Y24" s="8"/>
      <c r="Z24" s="57"/>
      <c r="AA24" s="2"/>
      <c r="AB24" s="51" t="n">
        <f aca="false">Z24*AA24</f>
        <v>0</v>
      </c>
      <c r="AC24" s="54"/>
      <c r="AD24" s="55"/>
      <c r="AE24" s="57"/>
      <c r="AF24" s="2"/>
      <c r="AG24" s="51" t="n">
        <f aca="false">AE24*AF24</f>
        <v>0</v>
      </c>
      <c r="AH24" s="62" t="s">
        <v>60</v>
      </c>
      <c r="AI24" s="53" t="n">
        <v>400000</v>
      </c>
      <c r="AJ24" s="50" t="n">
        <v>2</v>
      </c>
      <c r="AK24" s="51" t="n">
        <f aca="false">AI24*AJ24</f>
        <v>800000</v>
      </c>
      <c r="AL24" s="9"/>
      <c r="AM24" s="54" t="n">
        <v>250000</v>
      </c>
      <c r="AN24" s="54" t="n">
        <v>0</v>
      </c>
      <c r="AO24" s="54" t="n">
        <f aca="false">AM24*AN24</f>
        <v>0</v>
      </c>
      <c r="AP24" s="55" t="n">
        <v>5000</v>
      </c>
      <c r="AQ24" s="50" t="n">
        <v>2</v>
      </c>
      <c r="AR24" s="51" t="n">
        <f aca="false">AP24*AQ24</f>
        <v>10000</v>
      </c>
      <c r="AS24" s="55" t="n">
        <v>25000</v>
      </c>
      <c r="AT24" s="50" t="n">
        <v>4</v>
      </c>
      <c r="AU24" s="51" t="n">
        <f aca="false">AS24*AT24</f>
        <v>100000</v>
      </c>
      <c r="AV24" s="8"/>
      <c r="AW24" s="2"/>
      <c r="AX24" s="51" t="n">
        <f aca="false">AV24*AW24</f>
        <v>0</v>
      </c>
      <c r="AY24" s="8"/>
      <c r="AZ24" s="2"/>
      <c r="BA24" s="51" t="n">
        <f aca="false">AY24*AZ24</f>
        <v>0</v>
      </c>
    </row>
    <row r="25" customFormat="false" ht="15.75" hidden="false" customHeight="true" outlineLevel="0" collapsed="false">
      <c r="A25" s="0" t="n">
        <v>5</v>
      </c>
      <c r="B25" s="63" t="n">
        <v>21</v>
      </c>
      <c r="C25" s="64" t="s">
        <v>59</v>
      </c>
      <c r="D25" s="8"/>
      <c r="E25" s="2"/>
      <c r="F25" s="9" t="n">
        <f aca="false">D25*E25</f>
        <v>0</v>
      </c>
      <c r="G25" s="8"/>
      <c r="H25" s="2"/>
      <c r="I25" s="2" t="n">
        <f aca="false">G25*H25</f>
        <v>0</v>
      </c>
      <c r="J25" s="8"/>
      <c r="K25" s="2"/>
      <c r="L25" s="60" t="n">
        <f aca="false">J25*K25</f>
        <v>0</v>
      </c>
      <c r="M25" s="8"/>
      <c r="N25" s="2"/>
      <c r="O25" s="9"/>
      <c r="P25" s="66"/>
      <c r="Q25" s="8"/>
      <c r="R25" s="2"/>
      <c r="S25" s="9" t="n">
        <f aca="false">Q25*R25</f>
        <v>0</v>
      </c>
      <c r="T25" s="8" t="s">
        <v>61</v>
      </c>
      <c r="U25" s="57" t="n">
        <v>90000</v>
      </c>
      <c r="V25" s="2" t="n">
        <v>4</v>
      </c>
      <c r="W25" s="9" t="n">
        <f aca="false">U25*V25</f>
        <v>360000</v>
      </c>
      <c r="X25" s="61"/>
      <c r="Y25" s="8"/>
      <c r="Z25" s="57"/>
      <c r="AA25" s="2"/>
      <c r="AB25" s="51" t="n">
        <f aca="false">Z25*AA25</f>
        <v>0</v>
      </c>
      <c r="AC25" s="54"/>
      <c r="AD25" s="55"/>
      <c r="AE25" s="57"/>
      <c r="AF25" s="2"/>
      <c r="AG25" s="51" t="n">
        <f aca="false">AE25*AF25</f>
        <v>0</v>
      </c>
      <c r="AH25" s="64" t="s">
        <v>60</v>
      </c>
      <c r="AI25" s="53" t="n">
        <v>400000</v>
      </c>
      <c r="AJ25" s="50" t="n">
        <v>2</v>
      </c>
      <c r="AK25" s="51" t="n">
        <f aca="false">AI25*AJ25</f>
        <v>800000</v>
      </c>
      <c r="AL25" s="65"/>
      <c r="AM25" s="54" t="n">
        <v>250000</v>
      </c>
      <c r="AN25" s="54" t="n">
        <v>0</v>
      </c>
      <c r="AO25" s="54" t="n">
        <f aca="false">AM25*AN25</f>
        <v>0</v>
      </c>
      <c r="AP25" s="55" t="n">
        <v>5000</v>
      </c>
      <c r="AQ25" s="50" t="n">
        <v>2</v>
      </c>
      <c r="AR25" s="51" t="n">
        <f aca="false">AP25*AQ25</f>
        <v>10000</v>
      </c>
      <c r="AS25" s="55" t="n">
        <v>25000</v>
      </c>
      <c r="AT25" s="50" t="n">
        <v>4</v>
      </c>
      <c r="AU25" s="51" t="n">
        <f aca="false">AS25*AT25</f>
        <v>100000</v>
      </c>
      <c r="AV25" s="8"/>
      <c r="AW25" s="2"/>
      <c r="AX25" s="51" t="n">
        <f aca="false">AV25*AW25</f>
        <v>0</v>
      </c>
      <c r="AY25" s="8"/>
      <c r="AZ25" s="2"/>
      <c r="BA25" s="51" t="n">
        <f aca="false">AY25*AZ25</f>
        <v>0</v>
      </c>
    </row>
    <row r="26" customFormat="false" ht="15.75" hidden="false" customHeight="true" outlineLevel="0" collapsed="false">
      <c r="A26" s="0" t="n">
        <v>6</v>
      </c>
      <c r="B26" s="63" t="n">
        <v>22</v>
      </c>
      <c r="C26" s="62" t="s">
        <v>56</v>
      </c>
      <c r="D26" s="8"/>
      <c r="E26" s="2"/>
      <c r="F26" s="9" t="n">
        <f aca="false">D26*E26</f>
        <v>0</v>
      </c>
      <c r="G26" s="8"/>
      <c r="H26" s="2"/>
      <c r="I26" s="2" t="n">
        <f aca="false">G26*H26</f>
        <v>0</v>
      </c>
      <c r="J26" s="8"/>
      <c r="K26" s="2"/>
      <c r="L26" s="60" t="n">
        <f aca="false">J26*K26</f>
        <v>0</v>
      </c>
      <c r="M26" s="8"/>
      <c r="N26" s="2"/>
      <c r="O26" s="9"/>
      <c r="P26" s="66"/>
      <c r="Q26" s="8"/>
      <c r="R26" s="2"/>
      <c r="S26" s="9" t="n">
        <f aca="false">Q26*R26</f>
        <v>0</v>
      </c>
      <c r="T26" s="8" t="s">
        <v>62</v>
      </c>
      <c r="U26" s="57" t="n">
        <v>65000</v>
      </c>
      <c r="V26" s="2" t="n">
        <v>4</v>
      </c>
      <c r="W26" s="9" t="n">
        <f aca="false">U26*V26</f>
        <v>260000</v>
      </c>
      <c r="X26" s="61"/>
      <c r="Y26" s="8"/>
      <c r="Z26" s="57" t="n">
        <v>25000</v>
      </c>
      <c r="AA26" s="2" t="n">
        <v>5</v>
      </c>
      <c r="AB26" s="51" t="n">
        <f aca="false">Z26*AA26</f>
        <v>125000</v>
      </c>
      <c r="AC26" s="54"/>
      <c r="AD26" s="55"/>
      <c r="AE26" s="57"/>
      <c r="AF26" s="2"/>
      <c r="AG26" s="51" t="n">
        <f aca="false">AE26*AF26</f>
        <v>0</v>
      </c>
      <c r="AH26" s="64" t="s">
        <v>58</v>
      </c>
      <c r="AI26" s="53" t="n">
        <v>270000</v>
      </c>
      <c r="AJ26" s="50" t="n">
        <v>2</v>
      </c>
      <c r="AK26" s="51" t="n">
        <f aca="false">AI26*AJ26</f>
        <v>540000</v>
      </c>
      <c r="AL26" s="9"/>
      <c r="AM26" s="54" t="n">
        <v>250000</v>
      </c>
      <c r="AN26" s="54" t="n">
        <v>0</v>
      </c>
      <c r="AO26" s="54" t="n">
        <f aca="false">AM26*AN26</f>
        <v>0</v>
      </c>
      <c r="AP26" s="55" t="n">
        <v>5000</v>
      </c>
      <c r="AQ26" s="50" t="n">
        <v>2</v>
      </c>
      <c r="AR26" s="51" t="n">
        <f aca="false">AP26*AQ26</f>
        <v>10000</v>
      </c>
      <c r="AS26" s="55" t="n">
        <v>25000</v>
      </c>
      <c r="AT26" s="50" t="n">
        <v>4</v>
      </c>
      <c r="AU26" s="51" t="n">
        <f aca="false">AS26*AT26</f>
        <v>100000</v>
      </c>
      <c r="AV26" s="8"/>
      <c r="AW26" s="2"/>
      <c r="AX26" s="51" t="n">
        <f aca="false">AV26*AW26</f>
        <v>0</v>
      </c>
      <c r="AY26" s="8"/>
      <c r="AZ26" s="2"/>
      <c r="BA26" s="51" t="n">
        <f aca="false">AY26*AZ26</f>
        <v>0</v>
      </c>
    </row>
    <row r="27" customFormat="false" ht="15.75" hidden="false" customHeight="true" outlineLevel="0" collapsed="false">
      <c r="A27" s="0" t="n">
        <v>7</v>
      </c>
      <c r="B27" s="63" t="n">
        <v>23</v>
      </c>
      <c r="C27" s="64" t="s">
        <v>63</v>
      </c>
      <c r="D27" s="8"/>
      <c r="E27" s="2"/>
      <c r="F27" s="9" t="n">
        <f aca="false">D27*E27</f>
        <v>0</v>
      </c>
      <c r="G27" s="8"/>
      <c r="H27" s="2"/>
      <c r="I27" s="2" t="n">
        <f aca="false">G27*H27</f>
        <v>0</v>
      </c>
      <c r="J27" s="8"/>
      <c r="K27" s="2"/>
      <c r="L27" s="60" t="n">
        <f aca="false">J27*K27</f>
        <v>0</v>
      </c>
      <c r="M27" s="8"/>
      <c r="N27" s="2"/>
      <c r="O27" s="9"/>
      <c r="P27" s="66"/>
      <c r="Q27" s="8"/>
      <c r="R27" s="2"/>
      <c r="S27" s="9" t="n">
        <f aca="false">Q27*R27</f>
        <v>0</v>
      </c>
      <c r="T27" s="8"/>
      <c r="U27" s="57"/>
      <c r="V27" s="2" t="n">
        <v>0</v>
      </c>
      <c r="W27" s="9" t="n">
        <f aca="false">U27*V27</f>
        <v>0</v>
      </c>
      <c r="X27" s="61"/>
      <c r="Y27" s="8" t="s">
        <v>64</v>
      </c>
      <c r="Z27" s="57" t="n">
        <v>110000</v>
      </c>
      <c r="AA27" s="2" t="n">
        <v>4</v>
      </c>
      <c r="AB27" s="51" t="n">
        <f aca="false">Z27*AA27</f>
        <v>440000</v>
      </c>
      <c r="AC27" s="54" t="n">
        <v>330000</v>
      </c>
      <c r="AD27" s="55"/>
      <c r="AE27" s="57"/>
      <c r="AF27" s="2"/>
      <c r="AG27" s="51" t="n">
        <f aca="false">AE27*AF27</f>
        <v>0</v>
      </c>
      <c r="AH27" s="64" t="s">
        <v>65</v>
      </c>
      <c r="AI27" s="53" t="n">
        <v>200000</v>
      </c>
      <c r="AJ27" s="50" t="n">
        <v>2</v>
      </c>
      <c r="AK27" s="51" t="n">
        <f aca="false">AI27*AJ27</f>
        <v>400000</v>
      </c>
      <c r="AL27" s="65"/>
      <c r="AM27" s="54" t="n">
        <v>250000</v>
      </c>
      <c r="AN27" s="54" t="n">
        <v>0</v>
      </c>
      <c r="AO27" s="54" t="n">
        <f aca="false">AM27*AN27</f>
        <v>0</v>
      </c>
      <c r="AP27" s="55" t="n">
        <v>5000</v>
      </c>
      <c r="AQ27" s="50" t="n">
        <v>2</v>
      </c>
      <c r="AR27" s="51" t="n">
        <f aca="false">AP27*AQ27</f>
        <v>10000</v>
      </c>
      <c r="AS27" s="55" t="n">
        <v>25000</v>
      </c>
      <c r="AT27" s="50" t="n">
        <v>4</v>
      </c>
      <c r="AU27" s="51" t="n">
        <f aca="false">AS27*AT27</f>
        <v>100000</v>
      </c>
      <c r="AV27" s="8"/>
      <c r="AW27" s="2"/>
      <c r="AX27" s="51" t="n">
        <f aca="false">AV27*AW27</f>
        <v>0</v>
      </c>
      <c r="AY27" s="8"/>
      <c r="AZ27" s="2"/>
      <c r="BA27" s="51" t="n">
        <f aca="false">AY27*AZ27</f>
        <v>0</v>
      </c>
    </row>
    <row r="28" customFormat="false" ht="15.75" hidden="false" customHeight="true" outlineLevel="0" collapsed="false">
      <c r="A28" s="0" t="n">
        <v>8</v>
      </c>
      <c r="B28" s="63" t="n">
        <v>24</v>
      </c>
      <c r="C28" s="62" t="s">
        <v>63</v>
      </c>
      <c r="D28" s="8"/>
      <c r="E28" s="2"/>
      <c r="F28" s="9" t="n">
        <f aca="false">D28*E28</f>
        <v>0</v>
      </c>
      <c r="G28" s="8"/>
      <c r="H28" s="2"/>
      <c r="I28" s="2" t="n">
        <f aca="false">G28*H28</f>
        <v>0</v>
      </c>
      <c r="J28" s="8"/>
      <c r="K28" s="2"/>
      <c r="L28" s="60" t="n">
        <f aca="false">J28*K28</f>
        <v>0</v>
      </c>
      <c r="M28" s="8"/>
      <c r="N28" s="2"/>
      <c r="O28" s="9"/>
      <c r="P28" s="66"/>
      <c r="Q28" s="8"/>
      <c r="R28" s="2"/>
      <c r="S28" s="9" t="n">
        <f aca="false">Q28*R28</f>
        <v>0</v>
      </c>
      <c r="T28" s="8" t="s">
        <v>66</v>
      </c>
      <c r="U28" s="57" t="n">
        <v>50000</v>
      </c>
      <c r="V28" s="2" t="n">
        <v>0</v>
      </c>
      <c r="W28" s="9" t="n">
        <f aca="false">U28*V28</f>
        <v>0</v>
      </c>
      <c r="X28" s="61"/>
      <c r="Y28" s="8" t="s">
        <v>67</v>
      </c>
      <c r="Z28" s="57" t="n">
        <v>25000</v>
      </c>
      <c r="AA28" s="2" t="n">
        <v>0</v>
      </c>
      <c r="AB28" s="51" t="n">
        <f aca="false">Z28*AA28</f>
        <v>0</v>
      </c>
      <c r="AC28" s="54"/>
      <c r="AD28" s="55"/>
      <c r="AE28" s="57"/>
      <c r="AF28" s="2"/>
      <c r="AG28" s="51" t="n">
        <f aca="false">AE28*AF28</f>
        <v>0</v>
      </c>
      <c r="AH28" s="62" t="s">
        <v>65</v>
      </c>
      <c r="AI28" s="53" t="n">
        <v>200000</v>
      </c>
      <c r="AJ28" s="50" t="n">
        <v>2</v>
      </c>
      <c r="AK28" s="19" t="n">
        <f aca="false">AI28*AJ28</f>
        <v>400000</v>
      </c>
      <c r="AL28" s="65"/>
      <c r="AM28" s="54"/>
      <c r="AN28" s="54" t="n">
        <v>0</v>
      </c>
      <c r="AO28" s="54" t="n">
        <f aca="false">AM28*AN28</f>
        <v>0</v>
      </c>
      <c r="AP28" s="55" t="n">
        <v>5000</v>
      </c>
      <c r="AQ28" s="50" t="n">
        <v>2</v>
      </c>
      <c r="AR28" s="51" t="n">
        <f aca="false">AP28*AQ28</f>
        <v>10000</v>
      </c>
      <c r="AS28" s="55" t="n">
        <v>50000</v>
      </c>
      <c r="AT28" s="50" t="n">
        <v>4</v>
      </c>
      <c r="AU28" s="51" t="n">
        <f aca="false">AS28*AT28</f>
        <v>200000</v>
      </c>
      <c r="AV28" s="8"/>
      <c r="AW28" s="2"/>
      <c r="AX28" s="51" t="n">
        <f aca="false">AV28*AW28</f>
        <v>0</v>
      </c>
      <c r="AY28" s="8"/>
      <c r="AZ28" s="2"/>
      <c r="BA28" s="51" t="n">
        <f aca="false">AY28*AZ28</f>
        <v>0</v>
      </c>
    </row>
    <row r="29" customFormat="false" ht="15.75" hidden="false" customHeight="true" outlineLevel="0" collapsed="false">
      <c r="A29" s="0" t="n">
        <v>9</v>
      </c>
      <c r="B29" s="63" t="n">
        <v>25</v>
      </c>
      <c r="C29" s="64" t="s">
        <v>68</v>
      </c>
      <c r="D29" s="8"/>
      <c r="E29" s="2"/>
      <c r="F29" s="9" t="n">
        <f aca="false">D29*E29</f>
        <v>0</v>
      </c>
      <c r="G29" s="8"/>
      <c r="H29" s="2"/>
      <c r="I29" s="2" t="n">
        <f aca="false">G29*H29</f>
        <v>0</v>
      </c>
      <c r="J29" s="8"/>
      <c r="K29" s="2"/>
      <c r="L29" s="60" t="n">
        <f aca="false">J29*K29</f>
        <v>0</v>
      </c>
      <c r="M29" s="8"/>
      <c r="N29" s="2"/>
      <c r="O29" s="9"/>
      <c r="P29" s="66"/>
      <c r="Q29" s="8"/>
      <c r="R29" s="2"/>
      <c r="S29" s="9" t="n">
        <f aca="false">Q29*R29</f>
        <v>0</v>
      </c>
      <c r="T29" s="8" t="s">
        <v>69</v>
      </c>
      <c r="U29" s="57" t="n">
        <v>65000</v>
      </c>
      <c r="V29" s="2" t="n">
        <v>0</v>
      </c>
      <c r="W29" s="9" t="n">
        <f aca="false">U29*V29</f>
        <v>0</v>
      </c>
      <c r="X29" s="61"/>
      <c r="Y29" s="8" t="s">
        <v>70</v>
      </c>
      <c r="Z29" s="57" t="n">
        <v>110000</v>
      </c>
      <c r="AA29" s="2"/>
      <c r="AB29" s="51" t="n">
        <f aca="false">Z29*AA29</f>
        <v>0</v>
      </c>
      <c r="AC29" s="54"/>
      <c r="AD29" s="55"/>
      <c r="AE29" s="57"/>
      <c r="AF29" s="2"/>
      <c r="AG29" s="51" t="n">
        <f aca="false">AE29*AF29</f>
        <v>0</v>
      </c>
      <c r="AH29" s="64" t="s">
        <v>71</v>
      </c>
      <c r="AI29" s="57" t="n">
        <v>230000</v>
      </c>
      <c r="AJ29" s="50" t="n">
        <v>2</v>
      </c>
      <c r="AK29" s="51" t="n">
        <f aca="false">AI29*AJ29</f>
        <v>460000</v>
      </c>
      <c r="AL29" s="9"/>
      <c r="AM29" s="54" t="n">
        <v>170000</v>
      </c>
      <c r="AN29" s="54" t="n">
        <v>0</v>
      </c>
      <c r="AO29" s="54" t="n">
        <f aca="false">AM29*AN29</f>
        <v>0</v>
      </c>
      <c r="AP29" s="55" t="n">
        <v>5000</v>
      </c>
      <c r="AQ29" s="50" t="n">
        <v>2</v>
      </c>
      <c r="AR29" s="51" t="n">
        <f aca="false">AP29*AQ29</f>
        <v>10000</v>
      </c>
      <c r="AS29" s="55" t="n">
        <v>50000</v>
      </c>
      <c r="AT29" s="50" t="n">
        <v>4</v>
      </c>
      <c r="AU29" s="51" t="n">
        <f aca="false">AS29*AT29</f>
        <v>200000</v>
      </c>
      <c r="AV29" s="8"/>
      <c r="AW29" s="2"/>
      <c r="AX29" s="51" t="n">
        <f aca="false">AV29*AW29</f>
        <v>0</v>
      </c>
      <c r="AY29" s="8"/>
      <c r="AZ29" s="2"/>
      <c r="BA29" s="51" t="n">
        <f aca="false">AY29*AZ29</f>
        <v>0</v>
      </c>
    </row>
    <row r="30" customFormat="false" ht="15.75" hidden="false" customHeight="true" outlineLevel="0" collapsed="false">
      <c r="A30" s="0" t="n">
        <v>10</v>
      </c>
      <c r="B30" s="8" t="n">
        <v>26</v>
      </c>
      <c r="C30" s="62" t="s">
        <v>68</v>
      </c>
      <c r="D30" s="8"/>
      <c r="E30" s="2"/>
      <c r="F30" s="9" t="n">
        <f aca="false">D30*E30</f>
        <v>0</v>
      </c>
      <c r="G30" s="8"/>
      <c r="H30" s="2"/>
      <c r="I30" s="2" t="n">
        <f aca="false">G30*H30</f>
        <v>0</v>
      </c>
      <c r="J30" s="8"/>
      <c r="K30" s="2"/>
      <c r="L30" s="60" t="n">
        <f aca="false">J30*K30</f>
        <v>0</v>
      </c>
      <c r="M30" s="8"/>
      <c r="N30" s="2"/>
      <c r="O30" s="9"/>
      <c r="P30" s="66"/>
      <c r="Q30" s="8"/>
      <c r="R30" s="2"/>
      <c r="S30" s="9" t="n">
        <f aca="false">Q30*R30</f>
        <v>0</v>
      </c>
      <c r="T30" s="8" t="s">
        <v>72</v>
      </c>
      <c r="U30" s="57" t="n">
        <v>40000</v>
      </c>
      <c r="V30" s="2" t="n">
        <v>4</v>
      </c>
      <c r="W30" s="9" t="n">
        <f aca="false">U30*V30</f>
        <v>160000</v>
      </c>
      <c r="X30" s="61" t="n">
        <v>120000</v>
      </c>
      <c r="Y30" s="8"/>
      <c r="Z30" s="57"/>
      <c r="AA30" s="2"/>
      <c r="AB30" s="51" t="n">
        <f aca="false">Z30*AA30</f>
        <v>0</v>
      </c>
      <c r="AC30" s="54"/>
      <c r="AE30" s="57"/>
      <c r="AF30" s="2"/>
      <c r="AG30" s="51" t="n">
        <f aca="false">AE30*AF30</f>
        <v>0</v>
      </c>
      <c r="AH30" s="62" t="s">
        <v>71</v>
      </c>
      <c r="AI30" s="57" t="n">
        <v>230000</v>
      </c>
      <c r="AJ30" s="50" t="n">
        <v>2</v>
      </c>
      <c r="AK30" s="51" t="n">
        <f aca="false">AI30*AJ30</f>
        <v>460000</v>
      </c>
      <c r="AL30" s="9"/>
      <c r="AM30" s="54" t="n">
        <v>170000</v>
      </c>
      <c r="AN30" s="54" t="n">
        <v>0</v>
      </c>
      <c r="AO30" s="54" t="n">
        <f aca="false">AM30*AN30</f>
        <v>0</v>
      </c>
      <c r="AP30" s="55" t="n">
        <v>5000</v>
      </c>
      <c r="AQ30" s="50" t="n">
        <v>2</v>
      </c>
      <c r="AR30" s="51" t="n">
        <f aca="false">AP30*AQ30</f>
        <v>10000</v>
      </c>
      <c r="AS30" s="55" t="n">
        <v>25000</v>
      </c>
      <c r="AT30" s="50" t="n">
        <v>4</v>
      </c>
      <c r="AU30" s="51" t="n">
        <f aca="false">AS30*AT30</f>
        <v>100000</v>
      </c>
      <c r="AV30" s="8"/>
      <c r="AW30" s="2"/>
      <c r="AX30" s="51" t="n">
        <f aca="false">AV30*AW30</f>
        <v>0</v>
      </c>
      <c r="AY30" s="8"/>
      <c r="AZ30" s="2"/>
      <c r="BA30" s="51" t="n">
        <f aca="false">AY30*AZ30</f>
        <v>0</v>
      </c>
    </row>
    <row r="31" customFormat="false" ht="15.75" hidden="false" customHeight="true" outlineLevel="0" collapsed="false">
      <c r="A31" s="0" t="n">
        <v>11</v>
      </c>
      <c r="B31" s="8" t="n">
        <v>27</v>
      </c>
      <c r="C31" s="64" t="s">
        <v>73</v>
      </c>
      <c r="D31" s="8"/>
      <c r="E31" s="2"/>
      <c r="F31" s="9" t="n">
        <f aca="false">D31*E31</f>
        <v>0</v>
      </c>
      <c r="G31" s="8"/>
      <c r="H31" s="2"/>
      <c r="I31" s="2" t="n">
        <f aca="false">G31*H31</f>
        <v>0</v>
      </c>
      <c r="J31" s="8"/>
      <c r="K31" s="2"/>
      <c r="L31" s="60" t="n">
        <f aca="false">J31*K31</f>
        <v>0</v>
      </c>
      <c r="M31" s="8"/>
      <c r="N31" s="2"/>
      <c r="O31" s="9"/>
      <c r="P31" s="66"/>
      <c r="Q31" s="8"/>
      <c r="R31" s="2"/>
      <c r="S31" s="9" t="n">
        <f aca="false">Q31*R31</f>
        <v>0</v>
      </c>
      <c r="T31" s="8" t="s">
        <v>74</v>
      </c>
      <c r="U31" s="57" t="n">
        <v>50000</v>
      </c>
      <c r="V31" s="2" t="n">
        <v>0</v>
      </c>
      <c r="W31" s="9" t="n">
        <f aca="false">U31*V31</f>
        <v>0</v>
      </c>
      <c r="X31" s="61"/>
      <c r="Y31" s="8" t="s">
        <v>75</v>
      </c>
      <c r="Z31" s="57" t="n">
        <v>130000</v>
      </c>
      <c r="AA31" s="2" t="n">
        <v>4</v>
      </c>
      <c r="AB31" s="51" t="n">
        <f aca="false">Z31*AA31</f>
        <v>520000</v>
      </c>
      <c r="AC31" s="54" t="n">
        <v>240000</v>
      </c>
      <c r="AD31" s="55"/>
      <c r="AE31" s="57"/>
      <c r="AF31" s="2"/>
      <c r="AG31" s="51" t="n">
        <f aca="false">AE31*AF31</f>
        <v>0</v>
      </c>
      <c r="AH31" s="64" t="s">
        <v>76</v>
      </c>
      <c r="AI31" s="57" t="n">
        <v>240000</v>
      </c>
      <c r="AJ31" s="50" t="n">
        <v>2</v>
      </c>
      <c r="AK31" s="51" t="n">
        <f aca="false">AI31*AJ31</f>
        <v>480000</v>
      </c>
      <c r="AL31" s="65"/>
      <c r="AM31" s="54"/>
      <c r="AN31" s="54"/>
      <c r="AO31" s="54" t="n">
        <f aca="false">AM31*AN31</f>
        <v>0</v>
      </c>
      <c r="AP31" s="55"/>
      <c r="AQ31" s="50"/>
      <c r="AR31" s="51"/>
      <c r="AS31" s="55"/>
      <c r="AT31" s="50"/>
      <c r="AU31" s="51" t="n">
        <f aca="false">AS31*AT31</f>
        <v>0</v>
      </c>
      <c r="AV31" s="8"/>
      <c r="AW31" s="2"/>
      <c r="AX31" s="51" t="n">
        <f aca="false">AV31*AW31</f>
        <v>0</v>
      </c>
      <c r="AY31" s="8"/>
      <c r="AZ31" s="2"/>
      <c r="BA31" s="51" t="n">
        <f aca="false">AY31*AZ31</f>
        <v>0</v>
      </c>
    </row>
    <row r="32" customFormat="false" ht="15.75" hidden="false" customHeight="true" outlineLevel="0" collapsed="false">
      <c r="A32" s="0" t="n">
        <v>12</v>
      </c>
      <c r="B32" s="8" t="n">
        <v>28</v>
      </c>
      <c r="C32" s="62" t="s">
        <v>77</v>
      </c>
      <c r="D32" s="8"/>
      <c r="E32" s="2"/>
      <c r="F32" s="9" t="n">
        <f aca="false">D32*E32</f>
        <v>0</v>
      </c>
      <c r="G32" s="8"/>
      <c r="H32" s="2"/>
      <c r="I32" s="2" t="n">
        <f aca="false">G32*H32</f>
        <v>0</v>
      </c>
      <c r="J32" s="8"/>
      <c r="K32" s="2"/>
      <c r="L32" s="60" t="n">
        <f aca="false">J32*K32</f>
        <v>0</v>
      </c>
      <c r="M32" s="8"/>
      <c r="N32" s="2"/>
      <c r="O32" s="9"/>
      <c r="P32" s="66"/>
      <c r="Q32" s="8"/>
      <c r="R32" s="2"/>
      <c r="S32" s="9" t="n">
        <f aca="false">Q32*R32</f>
        <v>0</v>
      </c>
      <c r="T32" s="8" t="s">
        <v>78</v>
      </c>
      <c r="U32" s="57"/>
      <c r="V32" s="2"/>
      <c r="W32" s="9" t="n">
        <f aca="false">U32*V32</f>
        <v>0</v>
      </c>
      <c r="X32" s="61"/>
      <c r="Y32" s="8"/>
      <c r="Z32" s="57"/>
      <c r="AA32" s="2"/>
      <c r="AB32" s="51" t="n">
        <f aca="false">Z32*AA32</f>
        <v>0</v>
      </c>
      <c r="AC32" s="54"/>
      <c r="AD32" s="55"/>
      <c r="AE32" s="57"/>
      <c r="AF32" s="2"/>
      <c r="AG32" s="51" t="n">
        <f aca="false">AE32*AF32</f>
        <v>0</v>
      </c>
      <c r="AH32" s="64" t="s">
        <v>79</v>
      </c>
      <c r="AI32" s="57" t="n">
        <v>220000</v>
      </c>
      <c r="AJ32" s="50" t="n">
        <v>2</v>
      </c>
      <c r="AK32" s="51" t="n">
        <f aca="false">AI32*AJ32</f>
        <v>440000</v>
      </c>
      <c r="AL32" s="9"/>
      <c r="AM32" s="54"/>
      <c r="AN32" s="54"/>
      <c r="AO32" s="54" t="n">
        <f aca="false">AM32*AN32</f>
        <v>0</v>
      </c>
      <c r="AP32" s="55"/>
      <c r="AQ32" s="50"/>
      <c r="AR32" s="51"/>
      <c r="AS32" s="55"/>
      <c r="AT32" s="50"/>
      <c r="AU32" s="51" t="n">
        <f aca="false">AS32*AT32</f>
        <v>0</v>
      </c>
      <c r="AV32" s="8"/>
      <c r="AW32" s="2"/>
      <c r="AX32" s="51" t="n">
        <f aca="false">AV32*AW32</f>
        <v>0</v>
      </c>
      <c r="AY32" s="8"/>
      <c r="AZ32" s="2"/>
      <c r="BA32" s="51" t="n">
        <f aca="false">AY32*AZ32</f>
        <v>0</v>
      </c>
    </row>
    <row r="33" customFormat="false" ht="15.75" hidden="false" customHeight="true" outlineLevel="0" collapsed="false">
      <c r="A33" s="0" t="n">
        <v>13</v>
      </c>
      <c r="B33" s="8" t="n">
        <v>29</v>
      </c>
      <c r="C33" s="64" t="s">
        <v>54</v>
      </c>
      <c r="D33" s="8"/>
      <c r="E33" s="2"/>
      <c r="F33" s="9" t="n">
        <f aca="false">D33*E33</f>
        <v>0</v>
      </c>
      <c r="G33" s="8"/>
      <c r="H33" s="2"/>
      <c r="I33" s="2" t="n">
        <f aca="false">G33*H33</f>
        <v>0</v>
      </c>
      <c r="J33" s="8"/>
      <c r="K33" s="2"/>
      <c r="L33" s="60" t="n">
        <f aca="false">J33*K33</f>
        <v>0</v>
      </c>
      <c r="M33" s="8"/>
      <c r="N33" s="2"/>
      <c r="O33" s="9"/>
      <c r="P33" s="52"/>
      <c r="Q33" s="8"/>
      <c r="R33" s="2"/>
      <c r="S33" s="9" t="n">
        <f aca="false">Q33*R33</f>
        <v>0</v>
      </c>
      <c r="T33" s="8" t="s">
        <v>80</v>
      </c>
      <c r="U33" s="57" t="n">
        <v>65000</v>
      </c>
      <c r="V33" s="2"/>
      <c r="W33" s="9" t="n">
        <f aca="false">U33*V33</f>
        <v>0</v>
      </c>
      <c r="X33" s="61"/>
      <c r="Y33" s="8" t="s">
        <v>81</v>
      </c>
      <c r="Z33" s="57" t="n">
        <v>90000</v>
      </c>
      <c r="AA33" s="2" t="n">
        <v>4</v>
      </c>
      <c r="AB33" s="51" t="n">
        <f aca="false">Z33*AA33</f>
        <v>360000</v>
      </c>
      <c r="AC33" s="54" t="n">
        <v>150000</v>
      </c>
      <c r="AD33" s="55"/>
      <c r="AE33" s="57"/>
      <c r="AF33" s="2"/>
      <c r="AG33" s="51" t="n">
        <f aca="false">AE33*AF33</f>
        <v>0</v>
      </c>
      <c r="AH33" s="64" t="s">
        <v>53</v>
      </c>
      <c r="AI33" s="57" t="n">
        <v>250000</v>
      </c>
      <c r="AJ33" s="50" t="n">
        <v>2</v>
      </c>
      <c r="AK33" s="51" t="n">
        <f aca="false">AI33*AJ33</f>
        <v>500000</v>
      </c>
      <c r="AL33" s="65"/>
      <c r="AM33" s="54"/>
      <c r="AN33" s="54"/>
      <c r="AO33" s="54" t="n">
        <f aca="false">AM33*AN33</f>
        <v>0</v>
      </c>
      <c r="AP33" s="55"/>
      <c r="AQ33" s="50"/>
      <c r="AR33" s="51"/>
      <c r="AS33" s="55"/>
      <c r="AT33" s="50"/>
      <c r="AU33" s="51" t="n">
        <f aca="false">AS33*AT33</f>
        <v>0</v>
      </c>
      <c r="AV33" s="8"/>
      <c r="AW33" s="2"/>
      <c r="AX33" s="51" t="n">
        <f aca="false">AV33*AW33</f>
        <v>0</v>
      </c>
      <c r="AY33" s="8"/>
      <c r="AZ33" s="2"/>
      <c r="BA33" s="51" t="n">
        <f aca="false">AY33*AZ33</f>
        <v>0</v>
      </c>
    </row>
    <row r="34" customFormat="false" ht="15.75" hidden="false" customHeight="true" outlineLevel="0" collapsed="false">
      <c r="A34" s="8" t="n">
        <v>14</v>
      </c>
      <c r="B34" s="67" t="n">
        <v>30</v>
      </c>
      <c r="C34" s="64" t="s">
        <v>82</v>
      </c>
      <c r="D34" s="8"/>
      <c r="E34" s="2"/>
      <c r="F34" s="9" t="n">
        <f aca="false">D34*E34</f>
        <v>0</v>
      </c>
      <c r="G34" s="8"/>
      <c r="H34" s="2"/>
      <c r="I34" s="2" t="n">
        <f aca="false">G34*H34</f>
        <v>0</v>
      </c>
      <c r="J34" s="8"/>
      <c r="K34" s="2"/>
      <c r="L34" s="60" t="n">
        <f aca="false">J34*K34</f>
        <v>0</v>
      </c>
      <c r="M34" s="8"/>
      <c r="N34" s="2"/>
      <c r="O34" s="9"/>
      <c r="P34" s="52"/>
      <c r="Q34" s="8"/>
      <c r="R34" s="2"/>
      <c r="S34" s="9" t="n">
        <f aca="false">Q34*R34</f>
        <v>0</v>
      </c>
      <c r="T34" s="8" t="s">
        <v>83</v>
      </c>
      <c r="U34" s="57" t="n">
        <v>90000</v>
      </c>
      <c r="V34" s="2" t="n">
        <v>0</v>
      </c>
      <c r="W34" s="9" t="n">
        <f aca="false">U34*V34</f>
        <v>0</v>
      </c>
      <c r="X34" s="61" t="n">
        <v>0</v>
      </c>
      <c r="Y34" s="8"/>
      <c r="Z34" s="57"/>
      <c r="AA34" s="2"/>
      <c r="AB34" s="51" t="n">
        <f aca="false">Z34*AA34</f>
        <v>0</v>
      </c>
      <c r="AC34" s="54"/>
      <c r="AD34" s="55" t="s">
        <v>84</v>
      </c>
      <c r="AE34" s="57" t="n">
        <v>250000</v>
      </c>
      <c r="AF34" s="2" t="n">
        <v>1</v>
      </c>
      <c r="AG34" s="51" t="n">
        <f aca="false">AE34*AF34</f>
        <v>250000</v>
      </c>
      <c r="AH34" s="64" t="s">
        <v>82</v>
      </c>
      <c r="AI34" s="68" t="n">
        <v>230000</v>
      </c>
      <c r="AJ34" s="50" t="n">
        <v>1</v>
      </c>
      <c r="AK34" s="51" t="n">
        <f aca="false">AI34*AJ34</f>
        <v>230000</v>
      </c>
      <c r="AL34" s="65"/>
      <c r="AM34" s="54"/>
      <c r="AN34" s="54"/>
      <c r="AO34" s="54" t="n">
        <f aca="false">AM34*AN34</f>
        <v>0</v>
      </c>
      <c r="AP34" s="55"/>
      <c r="AQ34" s="50"/>
      <c r="AR34" s="51"/>
      <c r="AS34" s="55" t="n">
        <v>25000</v>
      </c>
      <c r="AT34" s="50" t="n">
        <v>5</v>
      </c>
      <c r="AU34" s="51" t="n">
        <f aca="false">AS34*AT34</f>
        <v>125000</v>
      </c>
      <c r="AV34" s="8"/>
      <c r="AW34" s="2"/>
      <c r="AX34" s="51" t="n">
        <f aca="false">AV34*AW34</f>
        <v>0</v>
      </c>
      <c r="AY34" s="8"/>
      <c r="AZ34" s="2"/>
      <c r="BA34" s="51" t="n">
        <f aca="false">AY34*AZ34</f>
        <v>0</v>
      </c>
    </row>
    <row r="35" customFormat="false" ht="15.75" hidden="false" customHeight="true" outlineLevel="0" collapsed="false">
      <c r="A35" s="8"/>
      <c r="B35" s="8"/>
      <c r="D35" s="8"/>
      <c r="E35" s="2" t="n">
        <v>1</v>
      </c>
      <c r="F35" s="9" t="n">
        <f aca="false">D35*E35</f>
        <v>0</v>
      </c>
      <c r="G35" s="8"/>
      <c r="H35" s="2"/>
      <c r="I35" s="2" t="n">
        <f aca="false">G35*H35</f>
        <v>0</v>
      </c>
      <c r="J35" s="8"/>
      <c r="K35" s="2"/>
      <c r="L35" s="60" t="n">
        <f aca="false">J35*K35</f>
        <v>0</v>
      </c>
      <c r="M35" s="8"/>
      <c r="N35" s="2"/>
      <c r="O35" s="9" t="n">
        <f aca="false">M35*N35</f>
        <v>0</v>
      </c>
      <c r="P35" s="52"/>
      <c r="Q35" s="8"/>
      <c r="R35" s="2"/>
      <c r="S35" s="9" t="n">
        <f aca="false">Q35*R35</f>
        <v>0</v>
      </c>
      <c r="T35" s="8" t="s">
        <v>85</v>
      </c>
      <c r="U35" s="57" t="n">
        <v>30000</v>
      </c>
      <c r="V35" s="2" t="n">
        <v>0</v>
      </c>
      <c r="W35" s="9" t="n">
        <f aca="false">U35*V35</f>
        <v>0</v>
      </c>
      <c r="X35" s="61"/>
      <c r="Y35" s="8"/>
      <c r="Z35" s="57"/>
      <c r="AA35" s="2"/>
      <c r="AB35" s="51" t="n">
        <f aca="false">Z35*AA35</f>
        <v>0</v>
      </c>
      <c r="AC35" s="54"/>
      <c r="AD35" s="55"/>
      <c r="AE35" s="57"/>
      <c r="AF35" s="2"/>
      <c r="AG35" s="51" t="n">
        <f aca="false">AE35*AF35</f>
        <v>0</v>
      </c>
      <c r="AH35" s="9"/>
      <c r="AI35" s="68"/>
      <c r="AJ35" s="50"/>
      <c r="AK35" s="51" t="n">
        <f aca="false">AI35*AJ35</f>
        <v>0</v>
      </c>
      <c r="AL35" s="9"/>
      <c r="AM35" s="54"/>
      <c r="AN35" s="54"/>
      <c r="AO35" s="54" t="n">
        <f aca="false">AM35*AN35</f>
        <v>0</v>
      </c>
      <c r="AP35" s="55"/>
      <c r="AQ35" s="50"/>
      <c r="AR35" s="51" t="n">
        <f aca="false">AP35*AQ35</f>
        <v>0</v>
      </c>
      <c r="AS35" s="55"/>
      <c r="AT35" s="50"/>
      <c r="AU35" s="51" t="n">
        <f aca="false">AS35*AT35</f>
        <v>0</v>
      </c>
      <c r="AV35" s="8"/>
      <c r="AW35" s="2"/>
      <c r="AX35" s="51" t="n">
        <f aca="false">AV35*AW35</f>
        <v>0</v>
      </c>
      <c r="AY35" s="8"/>
      <c r="AZ35" s="2"/>
      <c r="BA35" s="51" t="n">
        <f aca="false">AY35*AZ35</f>
        <v>0</v>
      </c>
    </row>
    <row r="36" customFormat="false" ht="15.75" hidden="false" customHeight="true" outlineLevel="0" collapsed="false">
      <c r="A36" s="8"/>
      <c r="B36" s="8"/>
      <c r="C36" s="9"/>
      <c r="D36" s="8"/>
      <c r="E36" s="2"/>
      <c r="F36" s="9" t="n">
        <f aca="false">D36*E36</f>
        <v>0</v>
      </c>
      <c r="G36" s="8"/>
      <c r="H36" s="2"/>
      <c r="I36" s="2" t="n">
        <f aca="false">G36*H36</f>
        <v>0</v>
      </c>
      <c r="J36" s="8"/>
      <c r="K36" s="2"/>
      <c r="L36" s="60" t="n">
        <f aca="false">J36*K36</f>
        <v>0</v>
      </c>
      <c r="M36" s="8"/>
      <c r="N36" s="2"/>
      <c r="O36" s="9" t="n">
        <f aca="false">M36*N36</f>
        <v>0</v>
      </c>
      <c r="P36" s="52"/>
      <c r="Q36" s="8"/>
      <c r="R36" s="2"/>
      <c r="S36" s="9" t="n">
        <f aca="false">Q36*R36</f>
        <v>0</v>
      </c>
      <c r="T36" s="8" t="s">
        <v>86</v>
      </c>
      <c r="U36" s="57" t="n">
        <v>30000</v>
      </c>
      <c r="V36" s="2" t="n">
        <v>0</v>
      </c>
      <c r="W36" s="9" t="n">
        <f aca="false">U36*V36</f>
        <v>0</v>
      </c>
      <c r="X36" s="61"/>
      <c r="Y36" s="8"/>
      <c r="Z36" s="57"/>
      <c r="AA36" s="2"/>
      <c r="AB36" s="51" t="n">
        <f aca="false">Z36*AA36</f>
        <v>0</v>
      </c>
      <c r="AC36" s="54"/>
      <c r="AD36" s="55"/>
      <c r="AE36" s="57"/>
      <c r="AF36" s="2"/>
      <c r="AG36" s="51" t="n">
        <f aca="false">AE36*AF36</f>
        <v>0</v>
      </c>
      <c r="AH36" s="9"/>
      <c r="AI36" s="68"/>
      <c r="AJ36" s="50"/>
      <c r="AK36" s="51"/>
      <c r="AL36" s="53"/>
      <c r="AM36" s="54"/>
      <c r="AN36" s="54"/>
      <c r="AO36" s="54" t="n">
        <f aca="false">AM36*AN36</f>
        <v>0</v>
      </c>
      <c r="AP36" s="55"/>
      <c r="AQ36" s="50"/>
      <c r="AR36" s="51" t="n">
        <f aca="false">AP36*AQ36</f>
        <v>0</v>
      </c>
      <c r="AS36" s="8"/>
      <c r="AT36" s="2"/>
      <c r="AU36" s="51" t="n">
        <f aca="false">AS36*AT36</f>
        <v>0</v>
      </c>
      <c r="AV36" s="8"/>
      <c r="AW36" s="2"/>
      <c r="AX36" s="51" t="n">
        <f aca="false">AV36*AW36</f>
        <v>0</v>
      </c>
      <c r="AY36" s="8"/>
      <c r="AZ36" s="2"/>
      <c r="BA36" s="51" t="n">
        <f aca="false">AY36*AZ36</f>
        <v>0</v>
      </c>
    </row>
    <row r="37" customFormat="false" ht="15.75" hidden="false" customHeight="true" outlineLevel="0" collapsed="false">
      <c r="A37" s="8"/>
      <c r="B37" s="8"/>
      <c r="C37" s="9" t="s">
        <v>87</v>
      </c>
      <c r="D37" s="8"/>
      <c r="E37" s="2"/>
      <c r="F37" s="9" t="n">
        <f aca="false">D37*E37</f>
        <v>0</v>
      </c>
      <c r="G37" s="8"/>
      <c r="H37" s="2"/>
      <c r="I37" s="2" t="n">
        <f aca="false">G37*H37</f>
        <v>0</v>
      </c>
      <c r="J37" s="8"/>
      <c r="K37" s="2"/>
      <c r="L37" s="60" t="n">
        <f aca="false">J37*K37</f>
        <v>0</v>
      </c>
      <c r="M37" s="8"/>
      <c r="N37" s="2"/>
      <c r="O37" s="9" t="n">
        <f aca="false">M37*N37</f>
        <v>0</v>
      </c>
      <c r="P37" s="52"/>
      <c r="Q37" s="8"/>
      <c r="R37" s="2"/>
      <c r="S37" s="9" t="n">
        <f aca="false">Q37*R37</f>
        <v>0</v>
      </c>
      <c r="U37" s="57"/>
      <c r="V37" s="2"/>
      <c r="W37" s="9" t="n">
        <f aca="false">U37*V37</f>
        <v>0</v>
      </c>
      <c r="X37" s="61"/>
      <c r="Y37" s="8"/>
      <c r="Z37" s="57"/>
      <c r="AA37" s="2"/>
      <c r="AB37" s="51" t="n">
        <f aca="false">Z37*AA37</f>
        <v>0</v>
      </c>
      <c r="AC37" s="54"/>
      <c r="AD37" s="55"/>
      <c r="AE37" s="57"/>
      <c r="AF37" s="2"/>
      <c r="AG37" s="51" t="n">
        <f aca="false">AE37*AF37</f>
        <v>0</v>
      </c>
      <c r="AH37" s="9"/>
      <c r="AI37" s="68"/>
      <c r="AJ37" s="2"/>
      <c r="AK37" s="51"/>
      <c r="AL37" s="53"/>
      <c r="AM37" s="54"/>
      <c r="AN37" s="54"/>
      <c r="AO37" s="54" t="n">
        <f aca="false">AM37*AN37</f>
        <v>0</v>
      </c>
      <c r="AP37" s="55"/>
      <c r="AQ37" s="50"/>
      <c r="AR37" s="51" t="n">
        <f aca="false">AP37*AQ37</f>
        <v>0</v>
      </c>
      <c r="AS37" s="8"/>
      <c r="AT37" s="2"/>
      <c r="AU37" s="51" t="n">
        <f aca="false">AS37*AT37</f>
        <v>0</v>
      </c>
      <c r="AV37" s="8"/>
      <c r="AW37" s="2"/>
      <c r="AX37" s="51" t="n">
        <f aca="false">AV37*AW37</f>
        <v>0</v>
      </c>
      <c r="AY37" s="8"/>
      <c r="AZ37" s="2"/>
      <c r="BA37" s="51" t="n">
        <f aca="false">AY37*AZ37</f>
        <v>0</v>
      </c>
    </row>
    <row r="38" customFormat="false" ht="15.75" hidden="false" customHeight="true" outlineLevel="0" collapsed="false">
      <c r="A38" s="8"/>
      <c r="B38" s="8"/>
      <c r="C38" s="9"/>
      <c r="D38" s="8"/>
      <c r="E38" s="2"/>
      <c r="F38" s="9" t="n">
        <f aca="false">D38*E38</f>
        <v>0</v>
      </c>
      <c r="G38" s="8"/>
      <c r="H38" s="2"/>
      <c r="I38" s="2" t="n">
        <f aca="false">G38*H38</f>
        <v>0</v>
      </c>
      <c r="J38" s="8"/>
      <c r="K38" s="2"/>
      <c r="L38" s="60" t="n">
        <f aca="false">J38*K38</f>
        <v>0</v>
      </c>
      <c r="M38" s="8"/>
      <c r="N38" s="2"/>
      <c r="O38" s="9" t="n">
        <f aca="false">M38*N38</f>
        <v>0</v>
      </c>
      <c r="P38" s="52"/>
      <c r="Q38" s="8"/>
      <c r="R38" s="2"/>
      <c r="S38" s="9" t="n">
        <f aca="false">Q38*R38</f>
        <v>0</v>
      </c>
      <c r="T38" s="8"/>
      <c r="U38" s="57"/>
      <c r="V38" s="2"/>
      <c r="W38" s="9" t="n">
        <f aca="false">U38*V38</f>
        <v>0</v>
      </c>
      <c r="X38" s="61"/>
      <c r="Y38" s="8"/>
      <c r="Z38" s="57"/>
      <c r="AA38" s="2"/>
      <c r="AB38" s="51" t="n">
        <f aca="false">Z38*AA38</f>
        <v>0</v>
      </c>
      <c r="AC38" s="54"/>
      <c r="AD38" s="55"/>
      <c r="AE38" s="57"/>
      <c r="AF38" s="2"/>
      <c r="AG38" s="51" t="n">
        <f aca="false">AE38*AF38</f>
        <v>0</v>
      </c>
      <c r="AH38" s="9"/>
      <c r="AI38" s="68"/>
      <c r="AJ38" s="2"/>
      <c r="AK38" s="51"/>
      <c r="AL38" s="53"/>
      <c r="AM38" s="54"/>
      <c r="AN38" s="54"/>
      <c r="AO38" s="54" t="n">
        <f aca="false">AM38*AN38</f>
        <v>0</v>
      </c>
      <c r="AP38" s="55"/>
      <c r="AQ38" s="50"/>
      <c r="AR38" s="51" t="n">
        <f aca="false">AP38*AQ38</f>
        <v>0</v>
      </c>
      <c r="AS38" s="8"/>
      <c r="AT38" s="2"/>
      <c r="AU38" s="51" t="n">
        <f aca="false">AS38*AT38</f>
        <v>0</v>
      </c>
      <c r="AV38" s="8"/>
      <c r="AW38" s="2"/>
      <c r="AX38" s="51" t="n">
        <f aca="false">AV38*AW38</f>
        <v>0</v>
      </c>
      <c r="AY38" s="8"/>
      <c r="AZ38" s="2"/>
      <c r="BA38" s="51" t="n">
        <f aca="false">AY38*AZ38</f>
        <v>0</v>
      </c>
    </row>
    <row r="39" customFormat="false" ht="15.75" hidden="false" customHeight="true" outlineLevel="0" collapsed="false">
      <c r="A39" s="8"/>
      <c r="B39" s="8"/>
      <c r="C39" s="65"/>
      <c r="D39" s="8"/>
      <c r="E39" s="2"/>
      <c r="F39" s="9" t="n">
        <f aca="false">D39*E39</f>
        <v>0</v>
      </c>
      <c r="G39" s="8"/>
      <c r="H39" s="2"/>
      <c r="I39" s="2" t="n">
        <f aca="false">G39*H39</f>
        <v>0</v>
      </c>
      <c r="J39" s="8"/>
      <c r="K39" s="2"/>
      <c r="L39" s="60" t="n">
        <f aca="false">J39*K39</f>
        <v>0</v>
      </c>
      <c r="M39" s="8"/>
      <c r="N39" s="2"/>
      <c r="O39" s="9" t="n">
        <f aca="false">M39*N39</f>
        <v>0</v>
      </c>
      <c r="P39" s="52"/>
      <c r="Q39" s="8"/>
      <c r="R39" s="2"/>
      <c r="S39" s="9" t="n">
        <f aca="false">Q39*R39</f>
        <v>0</v>
      </c>
      <c r="T39" s="8"/>
      <c r="U39" s="57"/>
      <c r="V39" s="2"/>
      <c r="W39" s="9" t="n">
        <f aca="false">U39*V39</f>
        <v>0</v>
      </c>
      <c r="X39" s="61"/>
      <c r="Y39" s="8"/>
      <c r="Z39" s="57"/>
      <c r="AA39" s="2"/>
      <c r="AB39" s="51" t="n">
        <f aca="false">Z39*AA39</f>
        <v>0</v>
      </c>
      <c r="AC39" s="54"/>
      <c r="AD39" s="55"/>
      <c r="AE39" s="57"/>
      <c r="AF39" s="2"/>
      <c r="AG39" s="51" t="n">
        <f aca="false">AE39*AF39</f>
        <v>0</v>
      </c>
      <c r="AH39" s="65"/>
      <c r="AI39" s="57"/>
      <c r="AJ39" s="2"/>
      <c r="AK39" s="51"/>
      <c r="AL39" s="53"/>
      <c r="AM39" s="54"/>
      <c r="AN39" s="54"/>
      <c r="AO39" s="54" t="n">
        <f aca="false">AM39*AN39</f>
        <v>0</v>
      </c>
      <c r="AP39" s="55"/>
      <c r="AQ39" s="50"/>
      <c r="AR39" s="51" t="n">
        <f aca="false">AP39*AQ39</f>
        <v>0</v>
      </c>
      <c r="AS39" s="8"/>
      <c r="AT39" s="2"/>
      <c r="AU39" s="51" t="n">
        <f aca="false">AS39*AT39</f>
        <v>0</v>
      </c>
      <c r="AV39" s="8"/>
      <c r="AW39" s="2"/>
      <c r="AX39" s="51" t="n">
        <f aca="false">AV39*AW39</f>
        <v>0</v>
      </c>
      <c r="AY39" s="8"/>
      <c r="AZ39" s="2"/>
      <c r="BA39" s="51" t="n">
        <f aca="false">AY39*AZ39</f>
        <v>0</v>
      </c>
    </row>
    <row r="40" customFormat="false" ht="15.75" hidden="false" customHeight="true" outlineLevel="0" collapsed="false">
      <c r="A40" s="8"/>
      <c r="B40" s="69"/>
      <c r="C40" s="9"/>
      <c r="D40" s="8"/>
      <c r="E40" s="2"/>
      <c r="F40" s="9" t="n">
        <f aca="false">D40*E40</f>
        <v>0</v>
      </c>
      <c r="G40" s="8"/>
      <c r="H40" s="2"/>
      <c r="I40" s="2" t="n">
        <f aca="false">G40*H40</f>
        <v>0</v>
      </c>
      <c r="J40" s="8"/>
      <c r="K40" s="2"/>
      <c r="L40" s="60" t="n">
        <f aca="false">J40*K40</f>
        <v>0</v>
      </c>
      <c r="M40" s="8"/>
      <c r="N40" s="2"/>
      <c r="O40" s="9" t="n">
        <f aca="false">M40*N40</f>
        <v>0</v>
      </c>
      <c r="P40" s="52"/>
      <c r="Q40" s="8"/>
      <c r="R40" s="2"/>
      <c r="S40" s="9" t="n">
        <f aca="false">Q40*R40</f>
        <v>0</v>
      </c>
      <c r="T40" s="8"/>
      <c r="U40" s="57"/>
      <c r="V40" s="2"/>
      <c r="W40" s="9" t="n">
        <f aca="false">U40*V40</f>
        <v>0</v>
      </c>
      <c r="X40" s="61"/>
      <c r="Y40" s="8"/>
      <c r="Z40" s="57"/>
      <c r="AA40" s="2"/>
      <c r="AB40" s="51" t="n">
        <f aca="false">Z40*AA40</f>
        <v>0</v>
      </c>
      <c r="AC40" s="54"/>
      <c r="AD40" s="55"/>
      <c r="AE40" s="57"/>
      <c r="AF40" s="2"/>
      <c r="AG40" s="51" t="n">
        <f aca="false">AE40*AF40</f>
        <v>0</v>
      </c>
      <c r="AH40" s="9"/>
      <c r="AI40" s="57"/>
      <c r="AJ40" s="2"/>
      <c r="AK40" s="51"/>
      <c r="AL40" s="53"/>
      <c r="AM40" s="54"/>
      <c r="AN40" s="54"/>
      <c r="AO40" s="54" t="n">
        <f aca="false">AM40*AN40</f>
        <v>0</v>
      </c>
      <c r="AP40" s="55"/>
      <c r="AQ40" s="50"/>
      <c r="AR40" s="51" t="n">
        <f aca="false">AP40*AQ40</f>
        <v>0</v>
      </c>
      <c r="AS40" s="8"/>
      <c r="AT40" s="2"/>
      <c r="AU40" s="51" t="n">
        <f aca="false">AS40*AT40</f>
        <v>0</v>
      </c>
      <c r="AV40" s="8"/>
      <c r="AW40" s="2"/>
      <c r="AX40" s="51" t="n">
        <f aca="false">AV40*AW40</f>
        <v>0</v>
      </c>
      <c r="AY40" s="8"/>
      <c r="AZ40" s="2"/>
      <c r="BA40" s="51" t="n">
        <f aca="false">AY40*AZ40</f>
        <v>0</v>
      </c>
    </row>
    <row r="41" customFormat="false" ht="15.75" hidden="false" customHeight="true" outlineLevel="0" collapsed="false">
      <c r="A41" s="8"/>
      <c r="B41" s="69"/>
      <c r="D41" s="8"/>
      <c r="E41" s="2"/>
      <c r="F41" s="9" t="n">
        <f aca="false">D41*E41</f>
        <v>0</v>
      </c>
      <c r="G41" s="8"/>
      <c r="H41" s="2"/>
      <c r="I41" s="2" t="n">
        <f aca="false">G41*H41</f>
        <v>0</v>
      </c>
      <c r="J41" s="8"/>
      <c r="K41" s="2"/>
      <c r="L41" s="60" t="n">
        <f aca="false">J41*K41</f>
        <v>0</v>
      </c>
      <c r="M41" s="8"/>
      <c r="N41" s="2"/>
      <c r="O41" s="9" t="n">
        <f aca="false">M41*N41</f>
        <v>0</v>
      </c>
      <c r="P41" s="52"/>
      <c r="Q41" s="8"/>
      <c r="R41" s="2"/>
      <c r="S41" s="9" t="n">
        <f aca="false">Q41*R41</f>
        <v>0</v>
      </c>
      <c r="T41" s="8"/>
      <c r="U41" s="57"/>
      <c r="V41" s="2"/>
      <c r="W41" s="9" t="n">
        <f aca="false">U41*V41</f>
        <v>0</v>
      </c>
      <c r="X41" s="61"/>
      <c r="Y41" s="8"/>
      <c r="Z41" s="57"/>
      <c r="AA41" s="2"/>
      <c r="AB41" s="51" t="n">
        <f aca="false">Z41*AA41</f>
        <v>0</v>
      </c>
      <c r="AC41" s="54"/>
      <c r="AD41" s="55"/>
      <c r="AE41" s="57"/>
      <c r="AF41" s="2"/>
      <c r="AG41" s="51" t="n">
        <f aca="false">AE41*AF41</f>
        <v>0</v>
      </c>
      <c r="AI41" s="57"/>
      <c r="AJ41" s="2"/>
      <c r="AK41" s="51"/>
      <c r="AL41" s="54"/>
      <c r="AM41" s="54"/>
      <c r="AN41" s="54"/>
      <c r="AO41" s="54" t="n">
        <f aca="false">AM41*AN41</f>
        <v>0</v>
      </c>
      <c r="AP41" s="8"/>
      <c r="AQ41" s="2"/>
      <c r="AR41" s="51" t="n">
        <f aca="false">AP41*AQ41</f>
        <v>0</v>
      </c>
      <c r="AS41" s="8"/>
      <c r="AT41" s="2"/>
      <c r="AU41" s="51" t="n">
        <f aca="false">AS41*AT41</f>
        <v>0</v>
      </c>
      <c r="AV41" s="8"/>
      <c r="AW41" s="2"/>
      <c r="AX41" s="51" t="n">
        <f aca="false">AV41*AW41</f>
        <v>0</v>
      </c>
      <c r="AY41" s="8"/>
      <c r="AZ41" s="2"/>
      <c r="BA41" s="51" t="n">
        <f aca="false">AY41*AZ41</f>
        <v>0</v>
      </c>
    </row>
    <row r="42" customFormat="false" ht="15.75" hidden="false" customHeight="true" outlineLevel="0" collapsed="false">
      <c r="A42" s="8"/>
      <c r="B42" s="69"/>
      <c r="D42" s="8"/>
      <c r="E42" s="2"/>
      <c r="F42" s="9"/>
      <c r="G42" s="8"/>
      <c r="H42" s="2"/>
      <c r="I42" s="2" t="n">
        <f aca="false">G42*H42</f>
        <v>0</v>
      </c>
      <c r="J42" s="8"/>
      <c r="K42" s="2"/>
      <c r="L42" s="60" t="n">
        <f aca="false">J42*K42</f>
        <v>0</v>
      </c>
      <c r="M42" s="8"/>
      <c r="N42" s="2"/>
      <c r="O42" s="9" t="n">
        <f aca="false">M42*N42</f>
        <v>0</v>
      </c>
      <c r="P42" s="52"/>
      <c r="Q42" s="8"/>
      <c r="R42" s="2"/>
      <c r="S42" s="9" t="n">
        <f aca="false">Q42*R42</f>
        <v>0</v>
      </c>
      <c r="T42" s="8"/>
      <c r="U42" s="57"/>
      <c r="V42" s="2"/>
      <c r="W42" s="9" t="n">
        <f aca="false">U42*V42</f>
        <v>0</v>
      </c>
      <c r="X42" s="61"/>
      <c r="Y42" s="8"/>
      <c r="Z42" s="57"/>
      <c r="AA42" s="2"/>
      <c r="AB42" s="51" t="n">
        <f aca="false">Z42*AA42</f>
        <v>0</v>
      </c>
      <c r="AC42" s="54"/>
      <c r="AD42" s="55"/>
      <c r="AE42" s="57"/>
      <c r="AF42" s="2"/>
      <c r="AG42" s="51" t="n">
        <f aca="false">AE42*AF42</f>
        <v>0</v>
      </c>
      <c r="AH42" s="65"/>
      <c r="AI42" s="57"/>
      <c r="AJ42" s="2"/>
      <c r="AK42" s="51"/>
      <c r="AL42" s="54"/>
      <c r="AM42" s="54"/>
      <c r="AN42" s="54"/>
      <c r="AO42" s="54" t="n">
        <f aca="false">AM42*AN42</f>
        <v>0</v>
      </c>
      <c r="AP42" s="8"/>
      <c r="AQ42" s="2"/>
      <c r="AR42" s="51" t="n">
        <f aca="false">AP42*AQ42</f>
        <v>0</v>
      </c>
      <c r="AS42" s="8"/>
      <c r="AT42" s="2"/>
      <c r="AU42" s="51" t="n">
        <f aca="false">AS42*AT42</f>
        <v>0</v>
      </c>
      <c r="AV42" s="8"/>
      <c r="AW42" s="2"/>
      <c r="AX42" s="51" t="n">
        <f aca="false">AV42*AW42</f>
        <v>0</v>
      </c>
      <c r="AY42" s="8"/>
      <c r="AZ42" s="2"/>
      <c r="BA42" s="51" t="n">
        <f aca="false">AY42*AZ42</f>
        <v>0</v>
      </c>
    </row>
    <row r="43" customFormat="false" ht="15.75" hidden="false" customHeight="true" outlineLevel="0" collapsed="false">
      <c r="A43" s="8"/>
      <c r="B43" s="69"/>
      <c r="D43" s="8"/>
      <c r="E43" s="2"/>
      <c r="F43" s="9" t="n">
        <f aca="false">D43*E43</f>
        <v>0</v>
      </c>
      <c r="G43" s="8"/>
      <c r="H43" s="2"/>
      <c r="I43" s="2" t="n">
        <f aca="false">G43*H43</f>
        <v>0</v>
      </c>
      <c r="J43" s="8"/>
      <c r="K43" s="2"/>
      <c r="L43" s="60" t="n">
        <f aca="false">J43*K43</f>
        <v>0</v>
      </c>
      <c r="M43" s="8"/>
      <c r="N43" s="2"/>
      <c r="O43" s="9" t="n">
        <f aca="false">M43*N43</f>
        <v>0</v>
      </c>
      <c r="P43" s="52"/>
      <c r="Q43" s="8"/>
      <c r="R43" s="2"/>
      <c r="S43" s="9" t="n">
        <f aca="false">Q43*R43</f>
        <v>0</v>
      </c>
      <c r="T43" s="8"/>
      <c r="U43" s="57"/>
      <c r="V43" s="2"/>
      <c r="W43" s="9" t="n">
        <f aca="false">U43*V43</f>
        <v>0</v>
      </c>
      <c r="X43" s="61"/>
      <c r="Y43" s="8"/>
      <c r="Z43" s="57"/>
      <c r="AA43" s="2"/>
      <c r="AB43" s="51" t="n">
        <f aca="false">Z43*AA43</f>
        <v>0</v>
      </c>
      <c r="AC43" s="54"/>
      <c r="AD43" s="55"/>
      <c r="AE43" s="57"/>
      <c r="AF43" s="2"/>
      <c r="AG43" s="51" t="n">
        <f aca="false">AE43*AF43</f>
        <v>0</v>
      </c>
      <c r="AH43" s="53"/>
      <c r="AI43" s="57"/>
      <c r="AJ43" s="2"/>
      <c r="AK43" s="51"/>
      <c r="AL43" s="54"/>
      <c r="AM43" s="54"/>
      <c r="AN43" s="54"/>
      <c r="AO43" s="54" t="n">
        <f aca="false">AM43*AN43</f>
        <v>0</v>
      </c>
      <c r="AP43" s="8"/>
      <c r="AQ43" s="2"/>
      <c r="AR43" s="51" t="n">
        <f aca="false">AP43*AQ43</f>
        <v>0</v>
      </c>
      <c r="AS43" s="8"/>
      <c r="AT43" s="2"/>
      <c r="AU43" s="51" t="n">
        <f aca="false">AS43*AT43</f>
        <v>0</v>
      </c>
      <c r="AV43" s="8"/>
      <c r="AW43" s="2"/>
      <c r="AX43" s="51" t="n">
        <f aca="false">AV43*AW43</f>
        <v>0</v>
      </c>
      <c r="AY43" s="8"/>
      <c r="AZ43" s="2"/>
      <c r="BA43" s="51" t="n">
        <f aca="false">AY43*AZ43</f>
        <v>0</v>
      </c>
    </row>
    <row r="44" customFormat="false" ht="15.75" hidden="false" customHeight="true" outlineLevel="0" collapsed="false">
      <c r="A44" s="8"/>
      <c r="B44" s="69"/>
      <c r="D44" s="8"/>
      <c r="E44" s="2"/>
      <c r="F44" s="9" t="n">
        <f aca="false">D44*E44</f>
        <v>0</v>
      </c>
      <c r="G44" s="8"/>
      <c r="H44" s="2"/>
      <c r="I44" s="2" t="n">
        <f aca="false">G44*H44</f>
        <v>0</v>
      </c>
      <c r="J44" s="8"/>
      <c r="K44" s="2"/>
      <c r="L44" s="60" t="n">
        <f aca="false">J44*K44</f>
        <v>0</v>
      </c>
      <c r="M44" s="8"/>
      <c r="N44" s="2"/>
      <c r="O44" s="9" t="n">
        <f aca="false">M44*N44</f>
        <v>0</v>
      </c>
      <c r="P44" s="52"/>
      <c r="Q44" s="8"/>
      <c r="R44" s="2"/>
      <c r="S44" s="9" t="n">
        <f aca="false">Q44*R44</f>
        <v>0</v>
      </c>
      <c r="T44" s="8"/>
      <c r="U44" s="57"/>
      <c r="V44" s="2"/>
      <c r="W44" s="9" t="n">
        <f aca="false">U44*V44</f>
        <v>0</v>
      </c>
      <c r="X44" s="61"/>
      <c r="Y44" s="8"/>
      <c r="Z44" s="57"/>
      <c r="AA44" s="2"/>
      <c r="AB44" s="51" t="n">
        <f aca="false">Z44*AA44</f>
        <v>0</v>
      </c>
      <c r="AC44" s="54"/>
      <c r="AD44" s="55"/>
      <c r="AE44" s="57"/>
      <c r="AF44" s="2"/>
      <c r="AG44" s="51" t="n">
        <f aca="false">AE44*AF44</f>
        <v>0</v>
      </c>
      <c r="AH44" s="53"/>
      <c r="AI44" s="57"/>
      <c r="AJ44" s="2"/>
      <c r="AK44" s="51"/>
      <c r="AL44" s="54"/>
      <c r="AM44" s="54"/>
      <c r="AN44" s="54"/>
      <c r="AO44" s="54" t="n">
        <f aca="false">AM44*AN44</f>
        <v>0</v>
      </c>
      <c r="AP44" s="8"/>
      <c r="AQ44" s="2"/>
      <c r="AR44" s="51" t="n">
        <f aca="false">AP44*AQ44</f>
        <v>0</v>
      </c>
      <c r="AS44" s="8"/>
      <c r="AT44" s="2"/>
      <c r="AU44" s="51" t="n">
        <f aca="false">AS44*AT44</f>
        <v>0</v>
      </c>
      <c r="AV44" s="8"/>
      <c r="AW44" s="2"/>
      <c r="AX44" s="51" t="n">
        <f aca="false">AV44*AW44</f>
        <v>0</v>
      </c>
      <c r="AY44" s="8"/>
      <c r="AZ44" s="2"/>
      <c r="BA44" s="51" t="n">
        <f aca="false">AY44*AZ44</f>
        <v>0</v>
      </c>
    </row>
    <row r="45" customFormat="false" ht="15.75" hidden="false" customHeight="true" outlineLevel="0" collapsed="false">
      <c r="A45" s="8"/>
      <c r="B45" s="69"/>
      <c r="C45" s="9"/>
      <c r="D45" s="8"/>
      <c r="E45" s="2"/>
      <c r="F45" s="9" t="n">
        <f aca="false">D45*E45</f>
        <v>0</v>
      </c>
      <c r="G45" s="8"/>
      <c r="H45" s="2"/>
      <c r="I45" s="2" t="n">
        <f aca="false">G45*H45</f>
        <v>0</v>
      </c>
      <c r="J45" s="8"/>
      <c r="K45" s="2"/>
      <c r="L45" s="60" t="n">
        <f aca="false">J45*K45</f>
        <v>0</v>
      </c>
      <c r="M45" s="8"/>
      <c r="N45" s="2"/>
      <c r="O45" s="9" t="n">
        <f aca="false">M45*N45</f>
        <v>0</v>
      </c>
      <c r="P45" s="52"/>
      <c r="Q45" s="8"/>
      <c r="R45" s="2"/>
      <c r="S45" s="9" t="n">
        <f aca="false">Q45*R45</f>
        <v>0</v>
      </c>
      <c r="T45" s="8"/>
      <c r="U45" s="57"/>
      <c r="V45" s="2"/>
      <c r="W45" s="9" t="n">
        <f aca="false">U45*V45</f>
        <v>0</v>
      </c>
      <c r="X45" s="61"/>
      <c r="Y45" s="8"/>
      <c r="Z45" s="57"/>
      <c r="AA45" s="2"/>
      <c r="AB45" s="51" t="n">
        <f aca="false">Z45*AA45</f>
        <v>0</v>
      </c>
      <c r="AC45" s="54"/>
      <c r="AD45" s="55"/>
      <c r="AE45" s="57"/>
      <c r="AF45" s="2"/>
      <c r="AG45" s="51" t="n">
        <f aca="false">AE45*AF45</f>
        <v>0</v>
      </c>
      <c r="AH45" s="53"/>
      <c r="AI45" s="57"/>
      <c r="AJ45" s="2"/>
      <c r="AK45" s="51"/>
      <c r="AL45" s="54"/>
      <c r="AM45" s="54"/>
      <c r="AN45" s="54"/>
      <c r="AO45" s="54" t="n">
        <f aca="false">AM45*AN45</f>
        <v>0</v>
      </c>
      <c r="AP45" s="8"/>
      <c r="AQ45" s="2"/>
      <c r="AR45" s="51" t="n">
        <f aca="false">AP45*AQ45</f>
        <v>0</v>
      </c>
      <c r="AS45" s="8"/>
      <c r="AT45" s="2"/>
      <c r="AU45" s="51" t="n">
        <f aca="false">AS45*AT45</f>
        <v>0</v>
      </c>
      <c r="AV45" s="8"/>
      <c r="AW45" s="2"/>
      <c r="AX45" s="51" t="n">
        <f aca="false">AV45*AW45</f>
        <v>0</v>
      </c>
      <c r="AY45" s="8"/>
      <c r="AZ45" s="2"/>
      <c r="BA45" s="51" t="n">
        <f aca="false">AY45*AZ45</f>
        <v>0</v>
      </c>
    </row>
    <row r="46" customFormat="false" ht="15.75" hidden="false" customHeight="true" outlineLevel="0" collapsed="false">
      <c r="A46" s="8"/>
      <c r="B46" s="69"/>
      <c r="C46" s="9"/>
      <c r="D46" s="8"/>
      <c r="E46" s="2"/>
      <c r="F46" s="9" t="n">
        <f aca="false">D46*E46</f>
        <v>0</v>
      </c>
      <c r="G46" s="8"/>
      <c r="H46" s="2"/>
      <c r="I46" s="2" t="n">
        <f aca="false">G46*H46</f>
        <v>0</v>
      </c>
      <c r="J46" s="8"/>
      <c r="K46" s="2"/>
      <c r="L46" s="60" t="n">
        <f aca="false">J46*K46</f>
        <v>0</v>
      </c>
      <c r="M46" s="8"/>
      <c r="N46" s="2"/>
      <c r="O46" s="9" t="n">
        <f aca="false">M46*N46</f>
        <v>0</v>
      </c>
      <c r="P46" s="52"/>
      <c r="Q46" s="8"/>
      <c r="R46" s="2"/>
      <c r="S46" s="9" t="n">
        <f aca="false">Q46*R46</f>
        <v>0</v>
      </c>
      <c r="T46" s="8"/>
      <c r="U46" s="57"/>
      <c r="V46" s="2"/>
      <c r="W46" s="9" t="n">
        <f aca="false">U46*V46</f>
        <v>0</v>
      </c>
      <c r="X46" s="61"/>
      <c r="Y46" s="8"/>
      <c r="Z46" s="57"/>
      <c r="AA46" s="2"/>
      <c r="AB46" s="51" t="n">
        <f aca="false">Z46*AA46</f>
        <v>0</v>
      </c>
      <c r="AC46" s="54"/>
      <c r="AD46" s="55"/>
      <c r="AE46" s="57"/>
      <c r="AF46" s="2"/>
      <c r="AG46" s="51" t="n">
        <f aca="false">AE46*AF46</f>
        <v>0</v>
      </c>
      <c r="AH46" s="53"/>
      <c r="AI46" s="57"/>
      <c r="AJ46" s="2"/>
      <c r="AK46" s="51"/>
      <c r="AL46" s="54"/>
      <c r="AM46" s="54"/>
      <c r="AN46" s="54"/>
      <c r="AO46" s="54" t="n">
        <f aca="false">AM46*AN46</f>
        <v>0</v>
      </c>
      <c r="AP46" s="8"/>
      <c r="AQ46" s="2"/>
      <c r="AR46" s="51" t="n">
        <f aca="false">AP46*AQ46</f>
        <v>0</v>
      </c>
      <c r="AS46" s="8"/>
      <c r="AT46" s="2"/>
      <c r="AU46" s="51" t="n">
        <f aca="false">AS46*AT46</f>
        <v>0</v>
      </c>
      <c r="AV46" s="8"/>
      <c r="AW46" s="2"/>
      <c r="AX46" s="51" t="n">
        <f aca="false">AV46*AW46</f>
        <v>0</v>
      </c>
      <c r="AY46" s="8"/>
      <c r="AZ46" s="2"/>
      <c r="BA46" s="51" t="n">
        <f aca="false">AY46*AZ46</f>
        <v>0</v>
      </c>
    </row>
    <row r="47" customFormat="false" ht="15.75" hidden="false" customHeight="true" outlineLevel="0" collapsed="false">
      <c r="A47" s="8"/>
      <c r="B47" s="69"/>
      <c r="C47" s="9"/>
      <c r="D47" s="8"/>
      <c r="E47" s="2"/>
      <c r="F47" s="9" t="n">
        <f aca="false">D47*E47</f>
        <v>0</v>
      </c>
      <c r="G47" s="8"/>
      <c r="H47" s="2"/>
      <c r="I47" s="2" t="n">
        <f aca="false">G47*H47</f>
        <v>0</v>
      </c>
      <c r="J47" s="8"/>
      <c r="K47" s="2"/>
      <c r="L47" s="60" t="n">
        <f aca="false">J47*K47</f>
        <v>0</v>
      </c>
      <c r="M47" s="8"/>
      <c r="N47" s="2"/>
      <c r="O47" s="9" t="n">
        <f aca="false">M47*N47</f>
        <v>0</v>
      </c>
      <c r="P47" s="52"/>
      <c r="Q47" s="8"/>
      <c r="R47" s="2"/>
      <c r="S47" s="9" t="n">
        <f aca="false">Q47*R47</f>
        <v>0</v>
      </c>
      <c r="T47" s="8"/>
      <c r="U47" s="57"/>
      <c r="V47" s="2"/>
      <c r="W47" s="9" t="n">
        <f aca="false">U47*V47</f>
        <v>0</v>
      </c>
      <c r="X47" s="61"/>
      <c r="Y47" s="8"/>
      <c r="Z47" s="57"/>
      <c r="AA47" s="2"/>
      <c r="AB47" s="51" t="n">
        <f aca="false">Z47*AA47</f>
        <v>0</v>
      </c>
      <c r="AC47" s="54"/>
      <c r="AD47" s="55"/>
      <c r="AE47" s="57"/>
      <c r="AF47" s="2"/>
      <c r="AG47" s="51" t="n">
        <f aca="false">AE47*AF47</f>
        <v>0</v>
      </c>
      <c r="AH47" s="53"/>
      <c r="AI47" s="57"/>
      <c r="AJ47" s="2"/>
      <c r="AK47" s="51" t="n">
        <f aca="false">AI47*AJ47</f>
        <v>0</v>
      </c>
      <c r="AL47" s="54"/>
      <c r="AM47" s="54"/>
      <c r="AN47" s="54"/>
      <c r="AO47" s="54" t="n">
        <f aca="false">AM47*AN47</f>
        <v>0</v>
      </c>
      <c r="AP47" s="8"/>
      <c r="AQ47" s="2"/>
      <c r="AR47" s="51" t="n">
        <f aca="false">AP47*AQ47</f>
        <v>0</v>
      </c>
      <c r="AS47" s="8"/>
      <c r="AT47" s="2"/>
      <c r="AU47" s="51" t="n">
        <f aca="false">AS47*AT47</f>
        <v>0</v>
      </c>
      <c r="AV47" s="8"/>
      <c r="AW47" s="2"/>
      <c r="AX47" s="51" t="n">
        <f aca="false">AV47*AW47</f>
        <v>0</v>
      </c>
      <c r="AY47" s="8"/>
      <c r="AZ47" s="2"/>
      <c r="BA47" s="51" t="n">
        <f aca="false">AY47*AZ47</f>
        <v>0</v>
      </c>
    </row>
    <row r="48" customFormat="false" ht="15.75" hidden="false" customHeight="true" outlineLevel="0" collapsed="false">
      <c r="A48" s="11"/>
      <c r="B48" s="69"/>
      <c r="C48" s="70"/>
      <c r="D48" s="11"/>
      <c r="E48" s="71"/>
      <c r="F48" s="71" t="n">
        <f aca="false">D48*E48</f>
        <v>0</v>
      </c>
      <c r="G48" s="11"/>
      <c r="H48" s="71"/>
      <c r="I48" s="71" t="n">
        <f aca="false">G48*H48</f>
        <v>0</v>
      </c>
      <c r="J48" s="11"/>
      <c r="K48" s="71"/>
      <c r="L48" s="71" t="n">
        <f aca="false">J48*K48</f>
        <v>0</v>
      </c>
      <c r="M48" s="11"/>
      <c r="N48" s="71"/>
      <c r="O48" s="71" t="n">
        <f aca="false">M48*N48</f>
        <v>0</v>
      </c>
      <c r="P48" s="72"/>
      <c r="Q48" s="11"/>
      <c r="R48" s="71"/>
      <c r="S48" s="70" t="n">
        <f aca="false">Q48*R48</f>
        <v>0</v>
      </c>
      <c r="T48" s="11"/>
      <c r="U48" s="73"/>
      <c r="V48" s="71"/>
      <c r="W48" s="71" t="n">
        <f aca="false">U48*V48</f>
        <v>0</v>
      </c>
      <c r="X48" s="74"/>
      <c r="Y48" s="11"/>
      <c r="Z48" s="73"/>
      <c r="AA48" s="71"/>
      <c r="AB48" s="71" t="n">
        <f aca="false">Z48*AA48</f>
        <v>0</v>
      </c>
      <c r="AC48" s="74"/>
      <c r="AD48" s="11"/>
      <c r="AE48" s="73"/>
      <c r="AF48" s="71"/>
      <c r="AG48" s="71" t="n">
        <f aca="false">AE48*AF48</f>
        <v>0</v>
      </c>
      <c r="AH48" s="73"/>
      <c r="AI48" s="73"/>
      <c r="AJ48" s="71"/>
      <c r="AK48" s="71" t="n">
        <f aca="false">AI48*AJ48</f>
        <v>0</v>
      </c>
      <c r="AL48" s="73"/>
      <c r="AM48" s="73"/>
      <c r="AN48" s="73"/>
      <c r="AO48" s="54" t="n">
        <f aca="false">AM48*AN48</f>
        <v>0</v>
      </c>
      <c r="AP48" s="11"/>
      <c r="AQ48" s="71"/>
      <c r="AR48" s="71" t="n">
        <f aca="false">AP48*AQ48</f>
        <v>0</v>
      </c>
      <c r="AS48" s="11"/>
      <c r="AT48" s="71"/>
      <c r="AU48" s="71" t="n">
        <f aca="false">AS48*AT48</f>
        <v>0</v>
      </c>
      <c r="AV48" s="11"/>
      <c r="AW48" s="71"/>
      <c r="AX48" s="71" t="n">
        <f aca="false">AV48*AW48</f>
        <v>0</v>
      </c>
      <c r="AY48" s="11"/>
      <c r="AZ48" s="71"/>
      <c r="BA48" s="71" t="n">
        <f aca="false">AY48*AZ48</f>
        <v>0</v>
      </c>
    </row>
    <row r="49" customFormat="false" ht="15.75" hidden="false" customHeight="true" outlineLevel="0" collapsed="false">
      <c r="F49" s="75" t="n">
        <f aca="false">SUM(F20:F48)</f>
        <v>0</v>
      </c>
      <c r="I49" s="75" t="n">
        <f aca="false">SUM(I20:I48)</f>
        <v>180000</v>
      </c>
      <c r="L49" s="75" t="n">
        <f aca="false">SUM(L20:L48)</f>
        <v>540000</v>
      </c>
      <c r="O49" s="75" t="n">
        <f aca="false">SUM(O20:O48)</f>
        <v>4802000</v>
      </c>
      <c r="P49" s="19" t="n">
        <f aca="false">SUM(P20:P48)</f>
        <v>3800</v>
      </c>
      <c r="S49" s="65" t="n">
        <f aca="false">SUM(S20:S48)</f>
        <v>3850000</v>
      </c>
      <c r="T49" s="14"/>
      <c r="W49" s="75" t="n">
        <f aca="false">SUM(W20:W48)</f>
        <v>1080000</v>
      </c>
      <c r="X49" s="14" t="n">
        <f aca="false">SUM(X20:X48)</f>
        <v>150000</v>
      </c>
      <c r="Y49" s="14"/>
      <c r="AB49" s="75" t="n">
        <f aca="false">SUM(AB20:AB48)</f>
        <v>1445000</v>
      </c>
      <c r="AC49" s="14" t="n">
        <f aca="false">SUM(AC20:AC48)</f>
        <v>720000</v>
      </c>
      <c r="AD49" s="67"/>
      <c r="AG49" s="75" t="n">
        <f aca="false">SUM(AG20:AG48)</f>
        <v>250000</v>
      </c>
      <c r="AH49" s="14"/>
      <c r="AK49" s="75" t="n">
        <f aca="false">SUM(AK20:AK48)</f>
        <v>6818000</v>
      </c>
      <c r="AL49" s="14"/>
      <c r="AM49" s="14"/>
      <c r="AN49" s="14"/>
      <c r="AO49" s="14" t="n">
        <f aca="false">SUM(AO20:AO48)</f>
        <v>0</v>
      </c>
      <c r="AR49" s="75" t="n">
        <f aca="false">SUM(AR20:AR48)</f>
        <v>110000</v>
      </c>
      <c r="AU49" s="75" t="n">
        <f aca="false">SUM(AU20:AU47)</f>
        <v>1550000</v>
      </c>
      <c r="AX49" s="75" t="n">
        <f aca="false">SUM(AX20:AX48)</f>
        <v>0</v>
      </c>
      <c r="BA49" s="76" t="n">
        <f aca="false">SUM(BA20:BA48)</f>
        <v>0</v>
      </c>
    </row>
    <row r="50" customFormat="false" ht="15.75" hidden="false" customHeight="true" outlineLevel="0" collapsed="false"/>
    <row r="51" customFormat="false" ht="15.75" hidden="false" customHeight="true" outlineLevel="0" collapsed="false">
      <c r="O51" s="0" t="n">
        <v>100</v>
      </c>
      <c r="P51" s="0" t="n">
        <v>20</v>
      </c>
    </row>
    <row r="52" customFormat="false" ht="15.75" hidden="false" customHeight="true" outlineLevel="0" collapsed="false">
      <c r="O52" s="0" t="n">
        <f aca="false">P49</f>
        <v>3800</v>
      </c>
    </row>
    <row r="53" customFormat="false" ht="15.75" hidden="false" customHeight="true" outlineLevel="0" collapsed="false">
      <c r="O53" s="0" t="n">
        <f aca="false">O52*P51/O51</f>
        <v>760</v>
      </c>
    </row>
    <row r="54" customFormat="false" ht="15.75" hidden="false" customHeight="true" outlineLevel="0" collapsed="false">
      <c r="O54" s="0" t="n">
        <v>5200</v>
      </c>
      <c r="P54" s="0" t="n">
        <f aca="false">O54*O53</f>
        <v>3952000</v>
      </c>
    </row>
    <row r="55" customFormat="false" ht="15.75" hidden="false" customHeight="true" outlineLevel="0" collapsed="false"/>
    <row r="56" customFormat="false" ht="15.75" hidden="false" customHeight="true" outlineLevel="0" collapsed="false"/>
    <row r="57" customFormat="false" ht="15.75" hidden="false" customHeight="true" outlineLevel="0" collapsed="false"/>
    <row r="58" customFormat="false" ht="15.75" hidden="false" customHeight="true" outlineLevel="0" collapsed="false"/>
    <row r="59" customFormat="false" ht="15.75" hidden="false" customHeight="true" outlineLevel="0" collapsed="false"/>
    <row r="60" customFormat="false" ht="15.75" hidden="false" customHeight="true" outlineLevel="0" collapsed="false"/>
    <row r="61" customFormat="false" ht="15.75" hidden="false" customHeight="true" outlineLevel="0" collapsed="false"/>
    <row r="62" customFormat="false" ht="15.75" hidden="false" customHeight="true" outlineLevel="0" collapsed="false"/>
    <row r="63" customFormat="false" ht="15.75" hidden="false" customHeight="true" outlineLevel="0" collapsed="false"/>
    <row r="64" customFormat="false" ht="15.75" hidden="false" customHeight="true" outlineLevel="0" collapsed="false"/>
    <row r="65" customFormat="false" ht="15.75" hidden="false" customHeight="true" outlineLevel="0" collapsed="false"/>
    <row r="66" customFormat="false" ht="15.75" hidden="false" customHeight="true" outlineLevel="0" collapsed="false"/>
    <row r="67" customFormat="false" ht="15.75" hidden="false" customHeight="true" outlineLevel="0" collapsed="false"/>
    <row r="68" customFormat="false" ht="15.75" hidden="false" customHeight="true" outlineLevel="0" collapsed="false"/>
    <row r="69" customFormat="false" ht="15.75" hidden="false" customHeight="true" outlineLevel="0" collapsed="false"/>
    <row r="70" customFormat="false" ht="15.75" hidden="false" customHeight="true" outlineLevel="0" collapsed="false"/>
    <row r="71" customFormat="false" ht="15.75" hidden="false" customHeight="true" outlineLevel="0" collapsed="false"/>
    <row r="72" customFormat="false" ht="15.75" hidden="false" customHeight="true" outlineLevel="0" collapsed="false"/>
    <row r="73" customFormat="false" ht="15.75" hidden="false" customHeight="true" outlineLevel="0" collapsed="false"/>
    <row r="74" customFormat="false" ht="15.75" hidden="false" customHeight="true" outlineLevel="0" collapsed="false"/>
    <row r="75" customFormat="false" ht="15.75" hidden="false" customHeight="true" outlineLevel="0" collapsed="false"/>
    <row r="76" customFormat="false" ht="15.75" hidden="false" customHeight="true" outlineLevel="0" collapsed="false"/>
    <row r="77" customFormat="false" ht="15.75" hidden="false" customHeight="true" outlineLevel="0" collapsed="false"/>
    <row r="78" customFormat="false" ht="15.75" hidden="false" customHeight="true" outlineLevel="0" collapsed="false"/>
    <row r="79" customFormat="false" ht="15.75" hidden="false" customHeight="true" outlineLevel="0" collapsed="false"/>
    <row r="80" customFormat="false" ht="15.75" hidden="false" customHeight="true" outlineLevel="0" collapsed="false"/>
    <row r="81" customFormat="false" ht="15.75" hidden="false" customHeight="true" outlineLevel="0" collapsed="false"/>
    <row r="82" customFormat="false" ht="15.75" hidden="false" customHeight="true" outlineLevel="0" collapsed="false"/>
    <row r="83" customFormat="false" ht="15.75" hidden="false" customHeight="true" outlineLevel="0" collapsed="false"/>
    <row r="84" customFormat="false" ht="15.75" hidden="false" customHeight="true" outlineLevel="0" collapsed="false"/>
    <row r="85" customFormat="false" ht="15.75" hidden="false" customHeight="true" outlineLevel="0" collapsed="false"/>
    <row r="86" customFormat="false" ht="15.75" hidden="false" customHeight="true" outlineLevel="0" collapsed="false"/>
    <row r="87" customFormat="false" ht="15.75" hidden="false" customHeight="true" outlineLevel="0" collapsed="false"/>
    <row r="88" customFormat="false" ht="15.75" hidden="false" customHeight="true" outlineLevel="0" collapsed="false"/>
    <row r="89" customFormat="false" ht="15.75" hidden="false" customHeight="true" outlineLevel="0" collapsed="false"/>
    <row r="90" customFormat="false" ht="15.75" hidden="false" customHeight="true" outlineLevel="0" collapsed="false"/>
    <row r="91" customFormat="false" ht="15.75" hidden="false" customHeight="true" outlineLevel="0" collapsed="false"/>
    <row r="92" customFormat="false" ht="15.75" hidden="false" customHeight="true" outlineLevel="0" collapsed="false"/>
    <row r="93" customFormat="false" ht="15.75" hidden="false" customHeight="true" outlineLevel="0" collapsed="false"/>
    <row r="94" customFormat="false" ht="15.75" hidden="false" customHeight="true" outlineLevel="0" collapsed="false"/>
    <row r="95" customFormat="false" ht="15.75" hidden="false" customHeight="true" outlineLevel="0" collapsed="false"/>
    <row r="96" customFormat="false" ht="15.75" hidden="false" customHeight="true" outlineLevel="0" collapsed="false"/>
    <row r="97" customFormat="false" ht="15.75" hidden="false" customHeight="true" outlineLevel="0" collapsed="false"/>
    <row r="98" customFormat="false" ht="15.75" hidden="false" customHeight="true" outlineLevel="0" collapsed="false"/>
    <row r="99" customFormat="false" ht="15.75" hidden="false" customHeight="true" outlineLevel="0" collapsed="false"/>
    <row r="100" customFormat="false" ht="15.75" hidden="false" customHeight="true" outlineLevel="0" collapsed="false"/>
    <row r="101" customFormat="false" ht="15.75" hidden="false" customHeight="true" outlineLevel="0" collapsed="false"/>
    <row r="102" customFormat="false" ht="15.75" hidden="false" customHeight="true" outlineLevel="0" collapsed="false"/>
    <row r="103" customFormat="false" ht="15.75" hidden="false" customHeight="true" outlineLevel="0" collapsed="false"/>
    <row r="104" customFormat="false" ht="15.75" hidden="false" customHeight="true" outlineLevel="0" collapsed="false"/>
    <row r="105" customFormat="false" ht="15.75" hidden="false" customHeight="true" outlineLevel="0" collapsed="false"/>
    <row r="106" customFormat="false" ht="15.75" hidden="false" customHeight="true" outlineLevel="0" collapsed="false"/>
    <row r="107" customFormat="false" ht="15.75" hidden="false" customHeight="true" outlineLevel="0" collapsed="false"/>
    <row r="108" customFormat="false" ht="15.75" hidden="false" customHeight="true" outlineLevel="0" collapsed="false"/>
    <row r="109" customFormat="false" ht="15.75" hidden="false" customHeight="true" outlineLevel="0" collapsed="false"/>
    <row r="110" customFormat="false" ht="15.75" hidden="false" customHeight="true" outlineLevel="0" collapsed="false"/>
    <row r="111" customFormat="false" ht="15.75" hidden="false" customHeight="true" outlineLevel="0" collapsed="false"/>
    <row r="112" customFormat="false" ht="15.75" hidden="false" customHeight="true" outlineLevel="0" collapsed="false"/>
    <row r="113" customFormat="false" ht="15.75" hidden="false" customHeight="true" outlineLevel="0" collapsed="false"/>
    <row r="114" customFormat="false" ht="15.75" hidden="false" customHeight="true" outlineLevel="0" collapsed="false"/>
    <row r="115" customFormat="false" ht="15.75" hidden="false" customHeight="true" outlineLevel="0" collapsed="false"/>
    <row r="116" customFormat="false" ht="15.75" hidden="false" customHeight="true" outlineLevel="0" collapsed="false"/>
    <row r="117" customFormat="false" ht="15.75" hidden="false" customHeight="true" outlineLevel="0" collapsed="false"/>
    <row r="118" customFormat="false" ht="15.75" hidden="false" customHeight="true" outlineLevel="0" collapsed="false"/>
    <row r="119" customFormat="false" ht="15.75" hidden="false" customHeight="true" outlineLevel="0" collapsed="false"/>
    <row r="120" customFormat="false" ht="15.75" hidden="false" customHeight="true" outlineLevel="0" collapsed="false"/>
    <row r="121" customFormat="false" ht="15.75" hidden="false" customHeight="true" outlineLevel="0" collapsed="false"/>
    <row r="122" customFormat="false" ht="15.75" hidden="false" customHeight="true" outlineLevel="0" collapsed="false"/>
    <row r="123" customFormat="false" ht="15.75" hidden="false" customHeight="true" outlineLevel="0" collapsed="false"/>
    <row r="124" customFormat="false" ht="15.75" hidden="false" customHeight="true" outlineLevel="0" collapsed="false"/>
    <row r="125" customFormat="false" ht="15.75" hidden="false" customHeight="true" outlineLevel="0" collapsed="false"/>
    <row r="126" customFormat="false" ht="15.75" hidden="false" customHeight="true" outlineLevel="0" collapsed="false"/>
    <row r="127" customFormat="false" ht="15.75" hidden="false" customHeight="true" outlineLevel="0" collapsed="false"/>
    <row r="128" customFormat="false" ht="15.75" hidden="false" customHeight="true" outlineLevel="0" collapsed="false"/>
    <row r="129" customFormat="false" ht="15.75" hidden="false" customHeight="true" outlineLevel="0" collapsed="false"/>
    <row r="130" customFormat="false" ht="15.75" hidden="false" customHeight="true" outlineLevel="0" collapsed="false"/>
    <row r="131" customFormat="false" ht="15.75" hidden="false" customHeight="true" outlineLevel="0" collapsed="false"/>
    <row r="132" customFormat="false" ht="15.75" hidden="false" customHeight="true" outlineLevel="0" collapsed="false"/>
    <row r="133" customFormat="false" ht="15.75" hidden="false" customHeight="true" outlineLevel="0" collapsed="false"/>
    <row r="134" customFormat="false" ht="15.75" hidden="false" customHeight="true" outlineLevel="0" collapsed="false"/>
    <row r="135" customFormat="false" ht="15.75" hidden="false" customHeight="true" outlineLevel="0" collapsed="false"/>
    <row r="136" customFormat="false" ht="15.75" hidden="false" customHeight="true" outlineLevel="0" collapsed="false"/>
    <row r="137" customFormat="false" ht="15.75" hidden="false" customHeight="true" outlineLevel="0" collapsed="false"/>
    <row r="138" customFormat="false" ht="15.75" hidden="false" customHeight="true" outlineLevel="0" collapsed="false"/>
    <row r="139" customFormat="false" ht="15.75" hidden="false" customHeight="true" outlineLevel="0" collapsed="false"/>
    <row r="140" customFormat="false" ht="15.75" hidden="false" customHeight="true" outlineLevel="0" collapsed="false"/>
    <row r="141" customFormat="false" ht="15.75" hidden="false" customHeight="true" outlineLevel="0" collapsed="false"/>
    <row r="142" customFormat="false" ht="15.75" hidden="false" customHeight="true" outlineLevel="0" collapsed="false"/>
    <row r="143" customFormat="false" ht="15.75" hidden="false" customHeight="true" outlineLevel="0" collapsed="false"/>
    <row r="144" customFormat="false" ht="15.75" hidden="false" customHeight="true" outlineLevel="0" collapsed="false"/>
    <row r="145" customFormat="false" ht="15.75" hidden="false" customHeight="true" outlineLevel="0" collapsed="false"/>
    <row r="146" customFormat="false" ht="15.75" hidden="false" customHeight="true" outlineLevel="0" collapsed="false"/>
    <row r="147" customFormat="false" ht="15.75" hidden="false" customHeight="true" outlineLevel="0" collapsed="false"/>
    <row r="148" customFormat="false" ht="15.75" hidden="false" customHeight="true" outlineLevel="0" collapsed="false"/>
    <row r="149" customFormat="false" ht="15.75" hidden="false" customHeight="true" outlineLevel="0" collapsed="false"/>
    <row r="150" customFormat="false" ht="15.75" hidden="false" customHeight="true" outlineLevel="0" collapsed="false"/>
    <row r="151" customFormat="false" ht="15.75" hidden="false" customHeight="true" outlineLevel="0" collapsed="false"/>
    <row r="152" customFormat="false" ht="15.75" hidden="false" customHeight="true" outlineLevel="0" collapsed="false"/>
    <row r="153" customFormat="false" ht="15.75" hidden="false" customHeight="true" outlineLevel="0" collapsed="false"/>
    <row r="154" customFormat="false" ht="15.75" hidden="false" customHeight="true" outlineLevel="0" collapsed="false"/>
    <row r="155" customFormat="false" ht="15.75" hidden="false" customHeight="true" outlineLevel="0" collapsed="false"/>
    <row r="156" customFormat="false" ht="15.75" hidden="false" customHeight="true" outlineLevel="0" collapsed="false"/>
    <row r="157" customFormat="false" ht="15.75" hidden="false" customHeight="true" outlineLevel="0" collapsed="false"/>
    <row r="158" customFormat="false" ht="15.75" hidden="false" customHeight="true" outlineLevel="0" collapsed="false"/>
    <row r="159" customFormat="false" ht="15.75" hidden="false" customHeight="true" outlineLevel="0" collapsed="false"/>
    <row r="160" customFormat="false" ht="15.75" hidden="false" customHeight="true" outlineLevel="0" collapsed="false"/>
    <row r="161" customFormat="false" ht="15.75" hidden="false" customHeight="true" outlineLevel="0" collapsed="false"/>
    <row r="162" customFormat="false" ht="15.75" hidden="false" customHeight="true" outlineLevel="0" collapsed="false"/>
    <row r="163" customFormat="false" ht="15.75" hidden="false" customHeight="true" outlineLevel="0" collapsed="false"/>
    <row r="164" customFormat="false" ht="15.75" hidden="false" customHeight="true" outlineLevel="0" collapsed="false"/>
    <row r="165" customFormat="false" ht="15.75" hidden="false" customHeight="true" outlineLevel="0" collapsed="false"/>
    <row r="166" customFormat="false" ht="15.75" hidden="false" customHeight="true" outlineLevel="0" collapsed="false"/>
    <row r="167" customFormat="false" ht="15.75" hidden="false" customHeight="true" outlineLevel="0" collapsed="false"/>
    <row r="168" customFormat="false" ht="15.75" hidden="false" customHeight="true" outlineLevel="0" collapsed="false"/>
    <row r="169" customFormat="false" ht="15.75" hidden="false" customHeight="true" outlineLevel="0" collapsed="false"/>
    <row r="170" customFormat="false" ht="15.75" hidden="false" customHeight="true" outlineLevel="0" collapsed="false"/>
    <row r="171" customFormat="false" ht="15.75" hidden="false" customHeight="true" outlineLevel="0" collapsed="false"/>
    <row r="172" customFormat="false" ht="15.75" hidden="false" customHeight="true" outlineLevel="0" collapsed="false"/>
    <row r="173" customFormat="false" ht="15.75" hidden="false" customHeight="true" outlineLevel="0" collapsed="false"/>
    <row r="174" customFormat="false" ht="15.75" hidden="false" customHeight="true" outlineLevel="0" collapsed="false"/>
    <row r="175" customFormat="false" ht="15.75" hidden="false" customHeight="true" outlineLevel="0" collapsed="false"/>
    <row r="176" customFormat="false" ht="15.75" hidden="false" customHeight="true" outlineLevel="0" collapsed="false"/>
    <row r="177" customFormat="false" ht="15.75" hidden="false" customHeight="true" outlineLevel="0" collapsed="false"/>
    <row r="178" customFormat="false" ht="15.75" hidden="false" customHeight="true" outlineLevel="0" collapsed="false"/>
    <row r="179" customFormat="false" ht="15.75" hidden="false" customHeight="true" outlineLevel="0" collapsed="false"/>
    <row r="180" customFormat="false" ht="15.75" hidden="false" customHeight="true" outlineLevel="0" collapsed="false"/>
    <row r="181" customFormat="false" ht="15.75" hidden="false" customHeight="true" outlineLevel="0" collapsed="false"/>
    <row r="182" customFormat="false" ht="15.75" hidden="false" customHeight="true" outlineLevel="0" collapsed="false"/>
    <row r="183" customFormat="false" ht="15.75" hidden="false" customHeight="true" outlineLevel="0" collapsed="false"/>
    <row r="184" customFormat="false" ht="15.75" hidden="false" customHeight="true" outlineLevel="0" collapsed="false"/>
    <row r="185" customFormat="false" ht="15.75" hidden="false" customHeight="true" outlineLevel="0" collapsed="false"/>
    <row r="186" customFormat="false" ht="15.75" hidden="false" customHeight="true" outlineLevel="0" collapsed="false"/>
    <row r="187" customFormat="false" ht="15.75" hidden="false" customHeight="true" outlineLevel="0" collapsed="false"/>
    <row r="188" customFormat="false" ht="15.75" hidden="false" customHeight="true" outlineLevel="0" collapsed="false"/>
    <row r="189" customFormat="false" ht="15.75" hidden="false" customHeight="true" outlineLevel="0" collapsed="false"/>
    <row r="190" customFormat="false" ht="15.75" hidden="false" customHeight="true" outlineLevel="0" collapsed="false"/>
    <row r="191" customFormat="false" ht="15.75" hidden="false" customHeight="true" outlineLevel="0" collapsed="false"/>
    <row r="192" customFormat="false" ht="15.75" hidden="false" customHeight="true" outlineLevel="0" collapsed="false"/>
    <row r="193" customFormat="false" ht="15.75" hidden="false" customHeight="true" outlineLevel="0" collapsed="false"/>
    <row r="194" customFormat="false" ht="15.75" hidden="false" customHeight="true" outlineLevel="0" collapsed="false"/>
    <row r="195" customFormat="false" ht="15.75" hidden="false" customHeight="true" outlineLevel="0" collapsed="false"/>
    <row r="196" customFormat="false" ht="15.75" hidden="false" customHeight="true" outlineLevel="0" collapsed="false"/>
    <row r="197" customFormat="false" ht="15.75" hidden="false" customHeight="true" outlineLevel="0" collapsed="false"/>
    <row r="198" customFormat="false" ht="15.75" hidden="false" customHeight="true" outlineLevel="0" collapsed="false"/>
    <row r="199" customFormat="false" ht="15.75" hidden="false" customHeight="true" outlineLevel="0" collapsed="false"/>
    <row r="200" customFormat="false" ht="15.75" hidden="false" customHeight="true" outlineLevel="0" collapsed="false"/>
    <row r="201" customFormat="false" ht="15.75" hidden="false" customHeight="true" outlineLevel="0" collapsed="false"/>
    <row r="202" customFormat="false" ht="15.75" hidden="false" customHeight="true" outlineLevel="0" collapsed="false"/>
    <row r="203" customFormat="false" ht="15.75" hidden="false" customHeight="true" outlineLevel="0" collapsed="false"/>
    <row r="204" customFormat="false" ht="15.75" hidden="false" customHeight="true" outlineLevel="0" collapsed="false"/>
    <row r="205" customFormat="false" ht="15.75" hidden="false" customHeight="true" outlineLevel="0" collapsed="false"/>
    <row r="206" customFormat="false" ht="15.75" hidden="false" customHeight="true" outlineLevel="0" collapsed="false"/>
    <row r="207" customFormat="false" ht="15.75" hidden="false" customHeight="true" outlineLevel="0" collapsed="false"/>
    <row r="208" customFormat="false" ht="15.75" hidden="false" customHeight="true" outlineLevel="0" collapsed="false"/>
    <row r="209" customFormat="false" ht="15.75" hidden="false" customHeight="true" outlineLevel="0" collapsed="false"/>
    <row r="210" customFormat="false" ht="15.75" hidden="false" customHeight="true" outlineLevel="0" collapsed="false"/>
    <row r="211" customFormat="false" ht="15.75" hidden="false" customHeight="true" outlineLevel="0" collapsed="false"/>
    <row r="212" customFormat="false" ht="15.75" hidden="false" customHeight="true" outlineLevel="0" collapsed="false"/>
    <row r="213" customFormat="false" ht="15.75" hidden="false" customHeight="true" outlineLevel="0" collapsed="false"/>
    <row r="214" customFormat="false" ht="15.75" hidden="false" customHeight="true" outlineLevel="0" collapsed="false"/>
    <row r="215" customFormat="false" ht="15.75" hidden="false" customHeight="true" outlineLevel="0" collapsed="false"/>
    <row r="216" customFormat="false" ht="15.75" hidden="false" customHeight="true" outlineLevel="0" collapsed="false"/>
    <row r="217" customFormat="false" ht="15.75" hidden="false" customHeight="true" outlineLevel="0" collapsed="false"/>
    <row r="218" customFormat="false" ht="15.75" hidden="false" customHeight="true" outlineLevel="0" collapsed="false"/>
    <row r="219" customFormat="false" ht="15.75" hidden="false" customHeight="true" outlineLevel="0" collapsed="false"/>
    <row r="220" customFormat="false" ht="15.75" hidden="false" customHeight="true" outlineLevel="0" collapsed="false"/>
    <row r="221" customFormat="false" ht="15.75" hidden="false" customHeight="true" outlineLevel="0" collapsed="false"/>
    <row r="222" customFormat="false" ht="15.75" hidden="false" customHeight="true" outlineLevel="0" collapsed="false"/>
    <row r="223" customFormat="false" ht="15.75" hidden="false" customHeight="true" outlineLevel="0" collapsed="false"/>
    <row r="224" customFormat="false" ht="15.75" hidden="false" customHeight="true" outlineLevel="0" collapsed="false"/>
    <row r="225" customFormat="false" ht="15.75" hidden="false" customHeight="true" outlineLevel="0" collapsed="false"/>
    <row r="226" customFormat="false" ht="15.75" hidden="false" customHeight="true" outlineLevel="0" collapsed="false"/>
    <row r="227" customFormat="false" ht="15.75" hidden="false" customHeight="true" outlineLevel="0" collapsed="false"/>
    <row r="228" customFormat="false" ht="15.75" hidden="false" customHeight="true" outlineLevel="0" collapsed="false"/>
    <row r="229" customFormat="false" ht="15.75" hidden="false" customHeight="true" outlineLevel="0" collapsed="false"/>
    <row r="230" customFormat="false" ht="15.75" hidden="false" customHeight="true" outlineLevel="0" collapsed="false"/>
    <row r="231" customFormat="false" ht="15.75" hidden="false" customHeight="true" outlineLevel="0" collapsed="false"/>
    <row r="232" customFormat="false" ht="15.75" hidden="false" customHeight="true" outlineLevel="0" collapsed="false"/>
    <row r="233" customFormat="false" ht="15.75" hidden="false" customHeight="true" outlineLevel="0" collapsed="false"/>
    <row r="234" customFormat="false" ht="15.75" hidden="false" customHeight="true" outlineLevel="0" collapsed="false"/>
    <row r="235" customFormat="false" ht="15.75" hidden="false" customHeight="true" outlineLevel="0" collapsed="false"/>
    <row r="236" customFormat="false" ht="15.75" hidden="false" customHeight="true" outlineLevel="0" collapsed="false"/>
    <row r="237" customFormat="false" ht="15.75" hidden="false" customHeight="true" outlineLevel="0" collapsed="false"/>
    <row r="238" customFormat="false" ht="15.75" hidden="false" customHeight="true" outlineLevel="0" collapsed="false"/>
    <row r="239" customFormat="false" ht="15.75" hidden="false" customHeight="true" outlineLevel="0" collapsed="false"/>
    <row r="240" customFormat="false" ht="15.75" hidden="false" customHeight="true" outlineLevel="0" collapsed="false"/>
    <row r="241" customFormat="false" ht="15.75" hidden="false" customHeight="true" outlineLevel="0" collapsed="false"/>
    <row r="242" customFormat="false" ht="15.75" hidden="false" customHeight="true" outlineLevel="0" collapsed="false"/>
    <row r="243" customFormat="false" ht="15.75" hidden="false" customHeight="true" outlineLevel="0" collapsed="false"/>
    <row r="244" customFormat="false" ht="15.75" hidden="false" customHeight="true" outlineLevel="0" collapsed="false"/>
    <row r="245" customFormat="false" ht="15.75" hidden="false" customHeight="true" outlineLevel="0" collapsed="false"/>
    <row r="246" customFormat="false" ht="15.75" hidden="false" customHeight="true" outlineLevel="0" collapsed="false"/>
    <row r="247" customFormat="false" ht="15.75" hidden="false" customHeight="true" outlineLevel="0" collapsed="false"/>
    <row r="248" customFormat="false" ht="15.75" hidden="false" customHeight="true" outlineLevel="0" collapsed="false"/>
    <row r="249" customFormat="false" ht="15.75" hidden="false" customHeight="true" outlineLevel="0" collapsed="false"/>
    <row r="250" customFormat="false" ht="15.75" hidden="false" customHeight="true" outlineLevel="0" collapsed="false"/>
    <row r="251" customFormat="false" ht="15.75" hidden="false" customHeight="true" outlineLevel="0" collapsed="false"/>
    <row r="252" customFormat="false" ht="15.75" hidden="false" customHeight="true" outlineLevel="0" collapsed="false"/>
    <row r="253" customFormat="false" ht="15.75" hidden="false" customHeight="true" outlineLevel="0" collapsed="false"/>
    <row r="254" customFormat="false" ht="15.75" hidden="false" customHeight="true" outlineLevel="0" collapsed="false"/>
    <row r="255" customFormat="false" ht="15.75" hidden="false" customHeight="true" outlineLevel="0" collapsed="false"/>
    <row r="256" customFormat="false" ht="15.75" hidden="false" customHeight="true" outlineLevel="0" collapsed="false"/>
    <row r="257" customFormat="false" ht="15.75" hidden="false" customHeight="true" outlineLevel="0" collapsed="false"/>
    <row r="258" customFormat="false" ht="15.75" hidden="false" customHeight="true" outlineLevel="0" collapsed="false"/>
    <row r="259" customFormat="false" ht="15.75" hidden="false" customHeight="true" outlineLevel="0" collapsed="false"/>
    <row r="260" customFormat="false" ht="15.75" hidden="false" customHeight="true" outlineLevel="0" collapsed="false"/>
    <row r="261" customFormat="false" ht="15.75" hidden="false" customHeight="true" outlineLevel="0" collapsed="false"/>
    <row r="262" customFormat="false" ht="15.75" hidden="false" customHeight="true" outlineLevel="0" collapsed="false"/>
    <row r="263" customFormat="false" ht="15.75" hidden="false" customHeight="true" outlineLevel="0" collapsed="false"/>
    <row r="264" customFormat="false" ht="15.75" hidden="false" customHeight="true" outlineLevel="0" collapsed="false"/>
    <row r="265" customFormat="false" ht="15.75" hidden="false" customHeight="true" outlineLevel="0" collapsed="false"/>
    <row r="266" customFormat="false" ht="15.75" hidden="false" customHeight="true" outlineLevel="0" collapsed="false"/>
    <row r="267" customFormat="false" ht="15.75" hidden="false" customHeight="true" outlineLevel="0" collapsed="false"/>
    <row r="268" customFormat="false" ht="15.75" hidden="false" customHeight="true" outlineLevel="0" collapsed="false"/>
    <row r="269" customFormat="false" ht="15.75" hidden="false" customHeight="true" outlineLevel="0" collapsed="false"/>
    <row r="270" customFormat="false" ht="15.75" hidden="false" customHeight="true" outlineLevel="0" collapsed="false"/>
    <row r="271" customFormat="false" ht="15.75" hidden="false" customHeight="true" outlineLevel="0" collapsed="false"/>
    <row r="272" customFormat="false" ht="15.75" hidden="false" customHeight="true" outlineLevel="0" collapsed="false"/>
    <row r="273" customFormat="false" ht="15.75" hidden="false" customHeight="true" outlineLevel="0" collapsed="false"/>
    <row r="274" customFormat="false" ht="15.75" hidden="false" customHeight="true" outlineLevel="0" collapsed="false"/>
    <row r="275" customFormat="false" ht="15.75" hidden="false" customHeight="true" outlineLevel="0" collapsed="false"/>
    <row r="276" customFormat="false" ht="15.75" hidden="false" customHeight="true" outlineLevel="0" collapsed="false"/>
    <row r="277" customFormat="false" ht="15.75" hidden="false" customHeight="true" outlineLevel="0" collapsed="false"/>
    <row r="278" customFormat="false" ht="15.75" hidden="false" customHeight="true" outlineLevel="0" collapsed="false"/>
    <row r="279" customFormat="false" ht="15.75" hidden="false" customHeight="true" outlineLevel="0" collapsed="false"/>
    <row r="280" customFormat="false" ht="15.75" hidden="false" customHeight="true" outlineLevel="0" collapsed="false"/>
    <row r="281" customFormat="false" ht="15.75" hidden="false" customHeight="true" outlineLevel="0" collapsed="false"/>
    <row r="282" customFormat="false" ht="15.75" hidden="false" customHeight="true" outlineLevel="0" collapsed="false"/>
    <row r="283" customFormat="false" ht="15.75" hidden="false" customHeight="true" outlineLevel="0" collapsed="false"/>
    <row r="284" customFormat="false" ht="15.75" hidden="false" customHeight="true" outlineLevel="0" collapsed="false"/>
    <row r="285" customFormat="false" ht="15.75" hidden="false" customHeight="true" outlineLevel="0" collapsed="false"/>
    <row r="286" customFormat="false" ht="15.75" hidden="false" customHeight="true" outlineLevel="0" collapsed="false"/>
    <row r="287" customFormat="false" ht="15.75" hidden="false" customHeight="true" outlineLevel="0" collapsed="false"/>
    <row r="288" customFormat="false" ht="15.75" hidden="false" customHeight="true" outlineLevel="0" collapsed="false"/>
    <row r="289" customFormat="false" ht="15.75" hidden="false" customHeight="true" outlineLevel="0" collapsed="false"/>
    <row r="290" customFormat="false" ht="15.75" hidden="false" customHeight="true" outlineLevel="0" collapsed="false"/>
    <row r="291" customFormat="false" ht="15.75" hidden="false" customHeight="true" outlineLevel="0" collapsed="false"/>
    <row r="292" customFormat="false" ht="15.75" hidden="false" customHeight="true" outlineLevel="0" collapsed="false"/>
    <row r="293" customFormat="false" ht="15.75" hidden="false" customHeight="true" outlineLevel="0" collapsed="false"/>
    <row r="294" customFormat="false" ht="15.75" hidden="false" customHeight="true" outlineLevel="0" collapsed="false"/>
    <row r="295" customFormat="false" ht="15.75" hidden="false" customHeight="true" outlineLevel="0" collapsed="false"/>
    <row r="296" customFormat="false" ht="15.75" hidden="false" customHeight="true" outlineLevel="0" collapsed="false"/>
    <row r="297" customFormat="false" ht="15.75" hidden="false" customHeight="true" outlineLevel="0" collapsed="false"/>
    <row r="298" customFormat="false" ht="15.75" hidden="false" customHeight="true" outlineLevel="0" collapsed="false"/>
    <row r="299" customFormat="false" ht="15.75" hidden="false" customHeight="true" outlineLevel="0" collapsed="false"/>
    <row r="300" customFormat="false" ht="15.75" hidden="false" customHeight="true" outlineLevel="0" collapsed="false"/>
    <row r="301" customFormat="false" ht="15.75" hidden="false" customHeight="true" outlineLevel="0" collapsed="false"/>
    <row r="302" customFormat="false" ht="15.75" hidden="false" customHeight="true" outlineLevel="0" collapsed="false"/>
    <row r="303" customFormat="false" ht="15.75" hidden="false" customHeight="true" outlineLevel="0" collapsed="false"/>
    <row r="304" customFormat="false" ht="15.75" hidden="false" customHeight="true" outlineLevel="0" collapsed="false"/>
    <row r="305" customFormat="false" ht="15.75" hidden="false" customHeight="true" outlineLevel="0" collapsed="false"/>
    <row r="306" customFormat="false" ht="15.75" hidden="false" customHeight="true" outlineLevel="0" collapsed="false"/>
    <row r="307" customFormat="false" ht="15.75" hidden="false" customHeight="true" outlineLevel="0" collapsed="false"/>
    <row r="308" customFormat="false" ht="15.75" hidden="false" customHeight="true" outlineLevel="0" collapsed="false"/>
    <row r="309" customFormat="false" ht="15.75" hidden="false" customHeight="true" outlineLevel="0" collapsed="false"/>
    <row r="310" customFormat="false" ht="15.75" hidden="false" customHeight="true" outlineLevel="0" collapsed="false"/>
    <row r="311" customFormat="false" ht="15.75" hidden="false" customHeight="true" outlineLevel="0" collapsed="false"/>
    <row r="312" customFormat="false" ht="15.75" hidden="false" customHeight="true" outlineLevel="0" collapsed="false"/>
    <row r="313" customFormat="false" ht="15.75" hidden="false" customHeight="true" outlineLevel="0" collapsed="false"/>
    <row r="314" customFormat="false" ht="15.75" hidden="false" customHeight="true" outlineLevel="0" collapsed="false"/>
    <row r="315" customFormat="false" ht="15.75" hidden="false" customHeight="true" outlineLevel="0" collapsed="false"/>
    <row r="316" customFormat="false" ht="15.75" hidden="false" customHeight="true" outlineLevel="0" collapsed="false"/>
    <row r="317" customFormat="false" ht="15.75" hidden="false" customHeight="true" outlineLevel="0" collapsed="false"/>
    <row r="318" customFormat="false" ht="15.75" hidden="false" customHeight="true" outlineLevel="0" collapsed="false"/>
    <row r="319" customFormat="false" ht="15.75" hidden="false" customHeight="true" outlineLevel="0" collapsed="false"/>
    <row r="320" customFormat="false" ht="15.75" hidden="false" customHeight="true" outlineLevel="0" collapsed="false"/>
    <row r="321" customFormat="false" ht="15.75" hidden="false" customHeight="true" outlineLevel="0" collapsed="false"/>
    <row r="322" customFormat="false" ht="15.75" hidden="false" customHeight="true" outlineLevel="0" collapsed="false"/>
    <row r="323" customFormat="false" ht="15.75" hidden="false" customHeight="true" outlineLevel="0" collapsed="false"/>
    <row r="324" customFormat="false" ht="15.75" hidden="false" customHeight="true" outlineLevel="0" collapsed="false"/>
    <row r="325" customFormat="false" ht="15.75" hidden="false" customHeight="true" outlineLevel="0" collapsed="false"/>
    <row r="326" customFormat="false" ht="15.75" hidden="false" customHeight="true" outlineLevel="0" collapsed="false"/>
    <row r="327" customFormat="false" ht="15.75" hidden="false" customHeight="true" outlineLevel="0" collapsed="false"/>
    <row r="328" customFormat="false" ht="15.75" hidden="false" customHeight="true" outlineLevel="0" collapsed="false"/>
    <row r="329" customFormat="false" ht="15.75" hidden="false" customHeight="true" outlineLevel="0" collapsed="false"/>
    <row r="330" customFormat="false" ht="15.75" hidden="false" customHeight="true" outlineLevel="0" collapsed="false"/>
    <row r="331" customFormat="false" ht="15.75" hidden="false" customHeight="true" outlineLevel="0" collapsed="false"/>
    <row r="332" customFormat="false" ht="15.75" hidden="false" customHeight="true" outlineLevel="0" collapsed="false"/>
    <row r="333" customFormat="false" ht="15.75" hidden="false" customHeight="true" outlineLevel="0" collapsed="false"/>
    <row r="334" customFormat="false" ht="15.75" hidden="false" customHeight="true" outlineLevel="0" collapsed="false"/>
    <row r="335" customFormat="false" ht="15.75" hidden="false" customHeight="true" outlineLevel="0" collapsed="false"/>
    <row r="336" customFormat="false" ht="15.75" hidden="false" customHeight="true" outlineLevel="0" collapsed="false"/>
    <row r="337" customFormat="false" ht="15.75" hidden="false" customHeight="true" outlineLevel="0" collapsed="false"/>
    <row r="338" customFormat="false" ht="15.75" hidden="false" customHeight="true" outlineLevel="0" collapsed="false"/>
    <row r="339" customFormat="false" ht="15.75" hidden="false" customHeight="true" outlineLevel="0" collapsed="false"/>
    <row r="340" customFormat="false" ht="15.75" hidden="false" customHeight="true" outlineLevel="0" collapsed="false"/>
    <row r="341" customFormat="false" ht="15.75" hidden="false" customHeight="true" outlineLevel="0" collapsed="false"/>
    <row r="342" customFormat="false" ht="15.75" hidden="false" customHeight="true" outlineLevel="0" collapsed="false"/>
    <row r="343" customFormat="false" ht="15.75" hidden="false" customHeight="true" outlineLevel="0" collapsed="false"/>
    <row r="344" customFormat="false" ht="15.75" hidden="false" customHeight="true" outlineLevel="0" collapsed="false"/>
    <row r="345" customFormat="false" ht="15.75" hidden="false" customHeight="true" outlineLevel="0" collapsed="false"/>
    <row r="346" customFormat="false" ht="15.75" hidden="false" customHeight="true" outlineLevel="0" collapsed="false"/>
    <row r="347" customFormat="false" ht="15.75" hidden="false" customHeight="true" outlineLevel="0" collapsed="false"/>
    <row r="348" customFormat="false" ht="15.75" hidden="false" customHeight="true" outlineLevel="0" collapsed="false"/>
    <row r="349" customFormat="false" ht="15.75" hidden="false" customHeight="true" outlineLevel="0" collapsed="false"/>
    <row r="350" customFormat="false" ht="15.75" hidden="false" customHeight="true" outlineLevel="0" collapsed="false"/>
    <row r="351" customFormat="false" ht="15.75" hidden="false" customHeight="true" outlineLevel="0" collapsed="false"/>
    <row r="352" customFormat="false" ht="15.75" hidden="false" customHeight="true" outlineLevel="0" collapsed="false"/>
    <row r="353" customFormat="false" ht="15.75" hidden="false" customHeight="true" outlineLevel="0" collapsed="false"/>
    <row r="354" customFormat="false" ht="15.75" hidden="false" customHeight="true" outlineLevel="0" collapsed="false"/>
    <row r="355" customFormat="false" ht="15.75" hidden="false" customHeight="true" outlineLevel="0" collapsed="false"/>
    <row r="356" customFormat="false" ht="15.75" hidden="false" customHeight="true" outlineLevel="0" collapsed="false"/>
    <row r="357" customFormat="false" ht="15.75" hidden="false" customHeight="true" outlineLevel="0" collapsed="false"/>
    <row r="358" customFormat="false" ht="15.75" hidden="false" customHeight="true" outlineLevel="0" collapsed="false"/>
    <row r="359" customFormat="false" ht="15.75" hidden="false" customHeight="true" outlineLevel="0" collapsed="false"/>
    <row r="360" customFormat="false" ht="15.75" hidden="false" customHeight="true" outlineLevel="0" collapsed="false"/>
    <row r="361" customFormat="false" ht="15.75" hidden="false" customHeight="true" outlineLevel="0" collapsed="false"/>
    <row r="362" customFormat="false" ht="15.75" hidden="false" customHeight="true" outlineLevel="0" collapsed="false"/>
    <row r="363" customFormat="false" ht="15.75" hidden="false" customHeight="true" outlineLevel="0" collapsed="false"/>
    <row r="364" customFormat="false" ht="15.75" hidden="false" customHeight="true" outlineLevel="0" collapsed="false"/>
    <row r="365" customFormat="false" ht="15.75" hidden="false" customHeight="true" outlineLevel="0" collapsed="false"/>
    <row r="366" customFormat="false" ht="15.75" hidden="false" customHeight="true" outlineLevel="0" collapsed="false"/>
    <row r="367" customFormat="false" ht="15.75" hidden="false" customHeight="true" outlineLevel="0" collapsed="false"/>
    <row r="368" customFormat="false" ht="15.75" hidden="false" customHeight="true" outlineLevel="0" collapsed="false"/>
    <row r="369" customFormat="false" ht="15.75" hidden="false" customHeight="true" outlineLevel="0" collapsed="false"/>
    <row r="370" customFormat="false" ht="15.75" hidden="false" customHeight="true" outlineLevel="0" collapsed="false"/>
    <row r="371" customFormat="false" ht="15.75" hidden="false" customHeight="true" outlineLevel="0" collapsed="false"/>
    <row r="372" customFormat="false" ht="15.75" hidden="false" customHeight="true" outlineLevel="0" collapsed="false"/>
    <row r="373" customFormat="false" ht="15.75" hidden="false" customHeight="true" outlineLevel="0" collapsed="false"/>
    <row r="374" customFormat="false" ht="15.75" hidden="false" customHeight="true" outlineLevel="0" collapsed="false"/>
    <row r="375" customFormat="false" ht="15.75" hidden="false" customHeight="true" outlineLevel="0" collapsed="false"/>
    <row r="376" customFormat="false" ht="15.75" hidden="false" customHeight="true" outlineLevel="0" collapsed="false"/>
    <row r="377" customFormat="false" ht="15.75" hidden="false" customHeight="true" outlineLevel="0" collapsed="false"/>
    <row r="378" customFormat="false" ht="15.75" hidden="false" customHeight="true" outlineLevel="0" collapsed="false"/>
    <row r="379" customFormat="false" ht="15.75" hidden="false" customHeight="true" outlineLevel="0" collapsed="false"/>
    <row r="380" customFormat="false" ht="15.75" hidden="false" customHeight="true" outlineLevel="0" collapsed="false"/>
    <row r="381" customFormat="false" ht="15.75" hidden="false" customHeight="true" outlineLevel="0" collapsed="false"/>
    <row r="382" customFormat="false" ht="15.75" hidden="false" customHeight="true" outlineLevel="0" collapsed="false"/>
    <row r="383" customFormat="false" ht="15.75" hidden="false" customHeight="true" outlineLevel="0" collapsed="false"/>
    <row r="384" customFormat="false" ht="15.75" hidden="false" customHeight="true" outlineLevel="0" collapsed="false"/>
    <row r="385" customFormat="false" ht="15.75" hidden="false" customHeight="true" outlineLevel="0" collapsed="false"/>
    <row r="386" customFormat="false" ht="15.75" hidden="false" customHeight="true" outlineLevel="0" collapsed="false"/>
    <row r="387" customFormat="false" ht="15.75" hidden="false" customHeight="true" outlineLevel="0" collapsed="false"/>
    <row r="388" customFormat="false" ht="15.75" hidden="false" customHeight="true" outlineLevel="0" collapsed="false"/>
    <row r="389" customFormat="false" ht="15.75" hidden="false" customHeight="true" outlineLevel="0" collapsed="false"/>
    <row r="390" customFormat="false" ht="15.75" hidden="false" customHeight="true" outlineLevel="0" collapsed="false"/>
    <row r="391" customFormat="false" ht="15.75" hidden="false" customHeight="true" outlineLevel="0" collapsed="false"/>
    <row r="392" customFormat="false" ht="15.75" hidden="false" customHeight="true" outlineLevel="0" collapsed="false"/>
    <row r="393" customFormat="false" ht="15.75" hidden="false" customHeight="true" outlineLevel="0" collapsed="false"/>
    <row r="394" customFormat="false" ht="15.75" hidden="false" customHeight="true" outlineLevel="0" collapsed="false"/>
    <row r="395" customFormat="false" ht="15.75" hidden="false" customHeight="true" outlineLevel="0" collapsed="false"/>
    <row r="396" customFormat="false" ht="15.75" hidden="false" customHeight="true" outlineLevel="0" collapsed="false"/>
    <row r="397" customFormat="false" ht="15.75" hidden="false" customHeight="true" outlineLevel="0" collapsed="false"/>
    <row r="398" customFormat="false" ht="15.75" hidden="false" customHeight="true" outlineLevel="0" collapsed="false"/>
    <row r="399" customFormat="false" ht="15.75" hidden="false" customHeight="true" outlineLevel="0" collapsed="false"/>
    <row r="400" customFormat="false" ht="15.75" hidden="false" customHeight="true" outlineLevel="0" collapsed="false"/>
    <row r="401" customFormat="false" ht="15.75" hidden="false" customHeight="true" outlineLevel="0" collapsed="false"/>
    <row r="402" customFormat="false" ht="15.75" hidden="false" customHeight="true" outlineLevel="0" collapsed="false"/>
    <row r="403" customFormat="false" ht="15.75" hidden="false" customHeight="true" outlineLevel="0" collapsed="false"/>
    <row r="404" customFormat="false" ht="15.75" hidden="false" customHeight="true" outlineLevel="0" collapsed="false"/>
    <row r="405" customFormat="false" ht="15.75" hidden="false" customHeight="true" outlineLevel="0" collapsed="false"/>
    <row r="406" customFormat="false" ht="15.75" hidden="false" customHeight="true" outlineLevel="0" collapsed="false"/>
    <row r="407" customFormat="false" ht="15.75" hidden="false" customHeight="true" outlineLevel="0" collapsed="false"/>
    <row r="408" customFormat="false" ht="15.75" hidden="false" customHeight="true" outlineLevel="0" collapsed="false"/>
    <row r="409" customFormat="false" ht="15.75" hidden="false" customHeight="true" outlineLevel="0" collapsed="false"/>
    <row r="410" customFormat="false" ht="15.75" hidden="false" customHeight="true" outlineLevel="0" collapsed="false"/>
    <row r="411" customFormat="false" ht="15.75" hidden="false" customHeight="true" outlineLevel="0" collapsed="false"/>
    <row r="412" customFormat="false" ht="15.75" hidden="false" customHeight="true" outlineLevel="0" collapsed="false"/>
    <row r="413" customFormat="false" ht="15.75" hidden="false" customHeight="true" outlineLevel="0" collapsed="false"/>
    <row r="414" customFormat="false" ht="15.75" hidden="false" customHeight="true" outlineLevel="0" collapsed="false"/>
    <row r="415" customFormat="false" ht="15.75" hidden="false" customHeight="true" outlineLevel="0" collapsed="false"/>
    <row r="416" customFormat="false" ht="15.75" hidden="false" customHeight="true" outlineLevel="0" collapsed="false"/>
    <row r="417" customFormat="false" ht="15.75" hidden="false" customHeight="true" outlineLevel="0" collapsed="false"/>
    <row r="418" customFormat="false" ht="15.75" hidden="false" customHeight="true" outlineLevel="0" collapsed="false"/>
    <row r="419" customFormat="false" ht="15.75" hidden="false" customHeight="true" outlineLevel="0" collapsed="false"/>
    <row r="420" customFormat="false" ht="15.75" hidden="false" customHeight="true" outlineLevel="0" collapsed="false"/>
    <row r="421" customFormat="false" ht="15.75" hidden="false" customHeight="true" outlineLevel="0" collapsed="false"/>
    <row r="422" customFormat="false" ht="15.75" hidden="false" customHeight="true" outlineLevel="0" collapsed="false"/>
    <row r="423" customFormat="false" ht="15.75" hidden="false" customHeight="true" outlineLevel="0" collapsed="false"/>
    <row r="424" customFormat="false" ht="15.75" hidden="false" customHeight="true" outlineLevel="0" collapsed="false"/>
    <row r="425" customFormat="false" ht="15.75" hidden="false" customHeight="true" outlineLevel="0" collapsed="false"/>
    <row r="426" customFormat="false" ht="15.75" hidden="false" customHeight="true" outlineLevel="0" collapsed="false"/>
    <row r="427" customFormat="false" ht="15.75" hidden="false" customHeight="true" outlineLevel="0" collapsed="false"/>
    <row r="428" customFormat="false" ht="15.75" hidden="false" customHeight="true" outlineLevel="0" collapsed="false"/>
    <row r="429" customFormat="false" ht="15.75" hidden="false" customHeight="true" outlineLevel="0" collapsed="false"/>
    <row r="430" customFormat="false" ht="15.75" hidden="false" customHeight="true" outlineLevel="0" collapsed="false"/>
    <row r="431" customFormat="false" ht="15.75" hidden="false" customHeight="true" outlineLevel="0" collapsed="false"/>
    <row r="432" customFormat="false" ht="15.75" hidden="false" customHeight="true" outlineLevel="0" collapsed="false"/>
    <row r="433" customFormat="false" ht="15.75" hidden="false" customHeight="true" outlineLevel="0" collapsed="false"/>
    <row r="434" customFormat="false" ht="15.75" hidden="false" customHeight="true" outlineLevel="0" collapsed="false"/>
    <row r="435" customFormat="false" ht="15.75" hidden="false" customHeight="true" outlineLevel="0" collapsed="false"/>
    <row r="436" customFormat="false" ht="15.75" hidden="false" customHeight="true" outlineLevel="0" collapsed="false"/>
    <row r="437" customFormat="false" ht="15.75" hidden="false" customHeight="true" outlineLevel="0" collapsed="false"/>
    <row r="438" customFormat="false" ht="15.75" hidden="false" customHeight="true" outlineLevel="0" collapsed="false"/>
    <row r="439" customFormat="false" ht="15.75" hidden="false" customHeight="true" outlineLevel="0" collapsed="false"/>
    <row r="440" customFormat="false" ht="15.75" hidden="false" customHeight="true" outlineLevel="0" collapsed="false"/>
    <row r="441" customFormat="false" ht="15.75" hidden="false" customHeight="true" outlineLevel="0" collapsed="false"/>
    <row r="442" customFormat="false" ht="15.75" hidden="false" customHeight="true" outlineLevel="0" collapsed="false"/>
    <row r="443" customFormat="false" ht="15.75" hidden="false" customHeight="true" outlineLevel="0" collapsed="false"/>
    <row r="444" customFormat="false" ht="15.75" hidden="false" customHeight="true" outlineLevel="0" collapsed="false"/>
    <row r="445" customFormat="false" ht="15.75" hidden="false" customHeight="true" outlineLevel="0" collapsed="false"/>
    <row r="446" customFormat="false" ht="15.75" hidden="false" customHeight="true" outlineLevel="0" collapsed="false"/>
    <row r="447" customFormat="false" ht="15.75" hidden="false" customHeight="true" outlineLevel="0" collapsed="false"/>
    <row r="448" customFormat="false" ht="15.75" hidden="false" customHeight="true" outlineLevel="0" collapsed="false"/>
    <row r="449" customFormat="false" ht="15.75" hidden="false" customHeight="true" outlineLevel="0" collapsed="false"/>
    <row r="450" customFormat="false" ht="15.75" hidden="false" customHeight="true" outlineLevel="0" collapsed="false"/>
    <row r="451" customFormat="false" ht="15.75" hidden="false" customHeight="true" outlineLevel="0" collapsed="false"/>
    <row r="452" customFormat="false" ht="15.75" hidden="false" customHeight="true" outlineLevel="0" collapsed="false"/>
    <row r="453" customFormat="false" ht="15.75" hidden="false" customHeight="true" outlineLevel="0" collapsed="false"/>
    <row r="454" customFormat="false" ht="15.75" hidden="false" customHeight="true" outlineLevel="0" collapsed="false"/>
    <row r="455" customFormat="false" ht="15.75" hidden="false" customHeight="true" outlineLevel="0" collapsed="false"/>
    <row r="456" customFormat="false" ht="15.75" hidden="false" customHeight="true" outlineLevel="0" collapsed="false"/>
    <row r="457" customFormat="false" ht="15.75" hidden="false" customHeight="true" outlineLevel="0" collapsed="false"/>
    <row r="458" customFormat="false" ht="15.75" hidden="false" customHeight="true" outlineLevel="0" collapsed="false"/>
    <row r="459" customFormat="false" ht="15.75" hidden="false" customHeight="true" outlineLevel="0" collapsed="false"/>
    <row r="460" customFormat="false" ht="15.75" hidden="false" customHeight="true" outlineLevel="0" collapsed="false"/>
    <row r="461" customFormat="false" ht="15.75" hidden="false" customHeight="true" outlineLevel="0" collapsed="false"/>
    <row r="462" customFormat="false" ht="15.75" hidden="false" customHeight="true" outlineLevel="0" collapsed="false"/>
    <row r="463" customFormat="false" ht="15.75" hidden="false" customHeight="true" outlineLevel="0" collapsed="false"/>
    <row r="464" customFormat="false" ht="15.75" hidden="false" customHeight="true" outlineLevel="0" collapsed="false"/>
    <row r="465" customFormat="false" ht="15.75" hidden="false" customHeight="true" outlineLevel="0" collapsed="false"/>
    <row r="466" customFormat="false" ht="15.75" hidden="false" customHeight="true" outlineLevel="0" collapsed="false"/>
    <row r="467" customFormat="false" ht="15.75" hidden="false" customHeight="true" outlineLevel="0" collapsed="false"/>
    <row r="468" customFormat="false" ht="15.75" hidden="false" customHeight="true" outlineLevel="0" collapsed="false"/>
    <row r="469" customFormat="false" ht="15.75" hidden="false" customHeight="true" outlineLevel="0" collapsed="false"/>
    <row r="470" customFormat="false" ht="15.75" hidden="false" customHeight="true" outlineLevel="0" collapsed="false"/>
    <row r="471" customFormat="false" ht="15.75" hidden="false" customHeight="true" outlineLevel="0" collapsed="false"/>
    <row r="472" customFormat="false" ht="15.75" hidden="false" customHeight="true" outlineLevel="0" collapsed="false"/>
    <row r="473" customFormat="false" ht="15.75" hidden="false" customHeight="true" outlineLevel="0" collapsed="false"/>
    <row r="474" customFormat="false" ht="15.75" hidden="false" customHeight="true" outlineLevel="0" collapsed="false"/>
    <row r="475" customFormat="false" ht="15.75" hidden="false" customHeight="true" outlineLevel="0" collapsed="false"/>
    <row r="476" customFormat="false" ht="15.75" hidden="false" customHeight="true" outlineLevel="0" collapsed="false"/>
    <row r="477" customFormat="false" ht="15.75" hidden="false" customHeight="true" outlineLevel="0" collapsed="false"/>
    <row r="478" customFormat="false" ht="15.75" hidden="false" customHeight="true" outlineLevel="0" collapsed="false"/>
    <row r="479" customFormat="false" ht="15.75" hidden="false" customHeight="true" outlineLevel="0" collapsed="false"/>
    <row r="480" customFormat="false" ht="15.75" hidden="false" customHeight="true" outlineLevel="0" collapsed="false"/>
    <row r="481" customFormat="false" ht="15.75" hidden="false" customHeight="true" outlineLevel="0" collapsed="false"/>
    <row r="482" customFormat="false" ht="15.75" hidden="false" customHeight="true" outlineLevel="0" collapsed="false"/>
    <row r="483" customFormat="false" ht="15.75" hidden="false" customHeight="true" outlineLevel="0" collapsed="false"/>
    <row r="484" customFormat="false" ht="15.75" hidden="false" customHeight="true" outlineLevel="0" collapsed="false"/>
    <row r="485" customFormat="false" ht="15.75" hidden="false" customHeight="true" outlineLevel="0" collapsed="false"/>
    <row r="486" customFormat="false" ht="15.75" hidden="false" customHeight="true" outlineLevel="0" collapsed="false"/>
    <row r="487" customFormat="false" ht="15.75" hidden="false" customHeight="true" outlineLevel="0" collapsed="false"/>
    <row r="488" customFormat="false" ht="15.75" hidden="false" customHeight="true" outlineLevel="0" collapsed="false"/>
    <row r="489" customFormat="false" ht="15.75" hidden="false" customHeight="true" outlineLevel="0" collapsed="false"/>
    <row r="490" customFormat="false" ht="15.75" hidden="false" customHeight="true" outlineLevel="0" collapsed="false"/>
    <row r="491" customFormat="false" ht="15.75" hidden="false" customHeight="true" outlineLevel="0" collapsed="false"/>
    <row r="492" customFormat="false" ht="15.75" hidden="false" customHeight="true" outlineLevel="0" collapsed="false"/>
    <row r="493" customFormat="false" ht="15.75" hidden="false" customHeight="true" outlineLevel="0" collapsed="false"/>
    <row r="494" customFormat="false" ht="15.75" hidden="false" customHeight="true" outlineLevel="0" collapsed="false"/>
    <row r="495" customFormat="false" ht="15.75" hidden="false" customHeight="true" outlineLevel="0" collapsed="false"/>
    <row r="496" customFormat="false" ht="15.75" hidden="false" customHeight="true" outlineLevel="0" collapsed="false"/>
    <row r="497" customFormat="false" ht="15.75" hidden="false" customHeight="true" outlineLevel="0" collapsed="false"/>
    <row r="498" customFormat="false" ht="15.75" hidden="false" customHeight="true" outlineLevel="0" collapsed="false"/>
    <row r="499" customFormat="false" ht="15.75" hidden="false" customHeight="true" outlineLevel="0" collapsed="false"/>
    <row r="500" customFormat="false" ht="15.75" hidden="false" customHeight="true" outlineLevel="0" collapsed="false"/>
    <row r="501" customFormat="false" ht="15.75" hidden="false" customHeight="true" outlineLevel="0" collapsed="false"/>
    <row r="502" customFormat="false" ht="15.75" hidden="false" customHeight="true" outlineLevel="0" collapsed="false"/>
    <row r="503" customFormat="false" ht="15.75" hidden="false" customHeight="true" outlineLevel="0" collapsed="false"/>
    <row r="504" customFormat="false" ht="15.75" hidden="false" customHeight="true" outlineLevel="0" collapsed="false"/>
    <row r="505" customFormat="false" ht="15.75" hidden="false" customHeight="true" outlineLevel="0" collapsed="false"/>
    <row r="506" customFormat="false" ht="15.75" hidden="false" customHeight="true" outlineLevel="0" collapsed="false"/>
    <row r="507" customFormat="false" ht="15.75" hidden="false" customHeight="true" outlineLevel="0" collapsed="false"/>
    <row r="508" customFormat="false" ht="15.75" hidden="false" customHeight="true" outlineLevel="0" collapsed="false"/>
    <row r="509" customFormat="false" ht="15.75" hidden="false" customHeight="true" outlineLevel="0" collapsed="false"/>
    <row r="510" customFormat="false" ht="15.75" hidden="false" customHeight="true" outlineLevel="0" collapsed="false"/>
    <row r="511" customFormat="false" ht="15.75" hidden="false" customHeight="true" outlineLevel="0" collapsed="false"/>
    <row r="512" customFormat="false" ht="15.75" hidden="false" customHeight="true" outlineLevel="0" collapsed="false"/>
    <row r="513" customFormat="false" ht="15.75" hidden="false" customHeight="true" outlineLevel="0" collapsed="false"/>
    <row r="514" customFormat="false" ht="15.75" hidden="false" customHeight="true" outlineLevel="0" collapsed="false"/>
    <row r="515" customFormat="false" ht="15.75" hidden="false" customHeight="true" outlineLevel="0" collapsed="false"/>
    <row r="516" customFormat="false" ht="15.75" hidden="false" customHeight="true" outlineLevel="0" collapsed="false"/>
    <row r="517" customFormat="false" ht="15.75" hidden="false" customHeight="true" outlineLevel="0" collapsed="false"/>
    <row r="518" customFormat="false" ht="15.75" hidden="false" customHeight="true" outlineLevel="0" collapsed="false"/>
    <row r="519" customFormat="false" ht="15.75" hidden="false" customHeight="true" outlineLevel="0" collapsed="false"/>
    <row r="520" customFormat="false" ht="15.75" hidden="false" customHeight="true" outlineLevel="0" collapsed="false"/>
    <row r="521" customFormat="false" ht="15.75" hidden="false" customHeight="true" outlineLevel="0" collapsed="false"/>
    <row r="522" customFormat="false" ht="15.75" hidden="false" customHeight="true" outlineLevel="0" collapsed="false"/>
    <row r="523" customFormat="false" ht="15.75" hidden="false" customHeight="true" outlineLevel="0" collapsed="false"/>
    <row r="524" customFormat="false" ht="15.75" hidden="false" customHeight="true" outlineLevel="0" collapsed="false"/>
    <row r="525" customFormat="false" ht="15.75" hidden="false" customHeight="true" outlineLevel="0" collapsed="false"/>
    <row r="526" customFormat="false" ht="15.75" hidden="false" customHeight="true" outlineLevel="0" collapsed="false"/>
    <row r="527" customFormat="false" ht="15.75" hidden="false" customHeight="true" outlineLevel="0" collapsed="false"/>
    <row r="528" customFormat="false" ht="15.75" hidden="false" customHeight="true" outlineLevel="0" collapsed="false"/>
    <row r="529" customFormat="false" ht="15.75" hidden="false" customHeight="true" outlineLevel="0" collapsed="false"/>
    <row r="530" customFormat="false" ht="15.75" hidden="false" customHeight="true" outlineLevel="0" collapsed="false"/>
    <row r="531" customFormat="false" ht="15.75" hidden="false" customHeight="true" outlineLevel="0" collapsed="false"/>
    <row r="532" customFormat="false" ht="15.75" hidden="false" customHeight="true" outlineLevel="0" collapsed="false"/>
    <row r="533" customFormat="false" ht="15.75" hidden="false" customHeight="true" outlineLevel="0" collapsed="false"/>
    <row r="534" customFormat="false" ht="15.75" hidden="false" customHeight="true" outlineLevel="0" collapsed="false"/>
    <row r="535" customFormat="false" ht="15.75" hidden="false" customHeight="true" outlineLevel="0" collapsed="false"/>
    <row r="536" customFormat="false" ht="15.75" hidden="false" customHeight="true" outlineLevel="0" collapsed="false"/>
    <row r="537" customFormat="false" ht="15.75" hidden="false" customHeight="true" outlineLevel="0" collapsed="false"/>
    <row r="538" customFormat="false" ht="15.75" hidden="false" customHeight="true" outlineLevel="0" collapsed="false"/>
    <row r="539" customFormat="false" ht="15.75" hidden="false" customHeight="true" outlineLevel="0" collapsed="false"/>
    <row r="540" customFormat="false" ht="15.75" hidden="false" customHeight="true" outlineLevel="0" collapsed="false"/>
    <row r="541" customFormat="false" ht="15.75" hidden="false" customHeight="true" outlineLevel="0" collapsed="false"/>
    <row r="542" customFormat="false" ht="15.75" hidden="false" customHeight="true" outlineLevel="0" collapsed="false"/>
    <row r="543" customFormat="false" ht="15.75" hidden="false" customHeight="true" outlineLevel="0" collapsed="false"/>
    <row r="544" customFormat="false" ht="15.75" hidden="false" customHeight="true" outlineLevel="0" collapsed="false"/>
    <row r="545" customFormat="false" ht="15.75" hidden="false" customHeight="true" outlineLevel="0" collapsed="false"/>
    <row r="546" customFormat="false" ht="15.75" hidden="false" customHeight="true" outlineLevel="0" collapsed="false"/>
    <row r="547" customFormat="false" ht="15.75" hidden="false" customHeight="true" outlineLevel="0" collapsed="false"/>
    <row r="548" customFormat="false" ht="15.75" hidden="false" customHeight="true" outlineLevel="0" collapsed="false"/>
    <row r="549" customFormat="false" ht="15.75" hidden="false" customHeight="true" outlineLevel="0" collapsed="false"/>
    <row r="550" customFormat="false" ht="15.75" hidden="false" customHeight="true" outlineLevel="0" collapsed="false"/>
    <row r="551" customFormat="false" ht="15.75" hidden="false" customHeight="true" outlineLevel="0" collapsed="false"/>
    <row r="552" customFormat="false" ht="15.75" hidden="false" customHeight="true" outlineLevel="0" collapsed="false"/>
    <row r="553" customFormat="false" ht="15.75" hidden="false" customHeight="true" outlineLevel="0" collapsed="false"/>
    <row r="554" customFormat="false" ht="15.75" hidden="false" customHeight="true" outlineLevel="0" collapsed="false"/>
    <row r="555" customFormat="false" ht="15.75" hidden="false" customHeight="true" outlineLevel="0" collapsed="false"/>
    <row r="556" customFormat="false" ht="15.75" hidden="false" customHeight="true" outlineLevel="0" collapsed="false"/>
    <row r="557" customFormat="false" ht="15.75" hidden="false" customHeight="true" outlineLevel="0" collapsed="false"/>
    <row r="558" customFormat="false" ht="15.75" hidden="false" customHeight="true" outlineLevel="0" collapsed="false"/>
    <row r="559" customFormat="false" ht="15.75" hidden="false" customHeight="true" outlineLevel="0" collapsed="false"/>
    <row r="560" customFormat="false" ht="15.75" hidden="false" customHeight="true" outlineLevel="0" collapsed="false"/>
    <row r="561" customFormat="false" ht="15.75" hidden="false" customHeight="true" outlineLevel="0" collapsed="false"/>
    <row r="562" customFormat="false" ht="15.75" hidden="false" customHeight="true" outlineLevel="0" collapsed="false"/>
    <row r="563" customFormat="false" ht="15.75" hidden="false" customHeight="true" outlineLevel="0" collapsed="false"/>
    <row r="564" customFormat="false" ht="15.75" hidden="false" customHeight="true" outlineLevel="0" collapsed="false"/>
    <row r="565" customFormat="false" ht="15.75" hidden="false" customHeight="true" outlineLevel="0" collapsed="false"/>
    <row r="566" customFormat="false" ht="15.75" hidden="false" customHeight="true" outlineLevel="0" collapsed="false"/>
    <row r="567" customFormat="false" ht="15.75" hidden="false" customHeight="true" outlineLevel="0" collapsed="false"/>
    <row r="568" customFormat="false" ht="15.75" hidden="false" customHeight="true" outlineLevel="0" collapsed="false"/>
    <row r="569" customFormat="false" ht="15.75" hidden="false" customHeight="true" outlineLevel="0" collapsed="false"/>
    <row r="570" customFormat="false" ht="15.75" hidden="false" customHeight="true" outlineLevel="0" collapsed="false"/>
    <row r="571" customFormat="false" ht="15.75" hidden="false" customHeight="true" outlineLevel="0" collapsed="false"/>
    <row r="572" customFormat="false" ht="15.75" hidden="false" customHeight="true" outlineLevel="0" collapsed="false"/>
    <row r="573" customFormat="false" ht="15.75" hidden="false" customHeight="true" outlineLevel="0" collapsed="false"/>
    <row r="574" customFormat="false" ht="15.75" hidden="false" customHeight="true" outlineLevel="0" collapsed="false"/>
    <row r="575" customFormat="false" ht="15.75" hidden="false" customHeight="true" outlineLevel="0" collapsed="false"/>
    <row r="576" customFormat="false" ht="15.75" hidden="false" customHeight="true" outlineLevel="0" collapsed="false"/>
    <row r="577" customFormat="false" ht="15.75" hidden="false" customHeight="true" outlineLevel="0" collapsed="false"/>
    <row r="578" customFormat="false" ht="15.75" hidden="false" customHeight="true" outlineLevel="0" collapsed="false"/>
    <row r="579" customFormat="false" ht="15.75" hidden="false" customHeight="true" outlineLevel="0" collapsed="false"/>
    <row r="580" customFormat="false" ht="15.75" hidden="false" customHeight="true" outlineLevel="0" collapsed="false"/>
    <row r="581" customFormat="false" ht="15.75" hidden="false" customHeight="true" outlineLevel="0" collapsed="false"/>
    <row r="582" customFormat="false" ht="15.75" hidden="false" customHeight="true" outlineLevel="0" collapsed="false"/>
    <row r="583" customFormat="false" ht="15.75" hidden="false" customHeight="true" outlineLevel="0" collapsed="false"/>
    <row r="584" customFormat="false" ht="15.75" hidden="false" customHeight="true" outlineLevel="0" collapsed="false"/>
    <row r="585" customFormat="false" ht="15.75" hidden="false" customHeight="true" outlineLevel="0" collapsed="false"/>
    <row r="586" customFormat="false" ht="15.75" hidden="false" customHeight="true" outlineLevel="0" collapsed="false"/>
    <row r="587" customFormat="false" ht="15.75" hidden="false" customHeight="true" outlineLevel="0" collapsed="false"/>
    <row r="588" customFormat="false" ht="15.75" hidden="false" customHeight="true" outlineLevel="0" collapsed="false"/>
    <row r="589" customFormat="false" ht="15.75" hidden="false" customHeight="true" outlineLevel="0" collapsed="false"/>
    <row r="590" customFormat="false" ht="15.75" hidden="false" customHeight="true" outlineLevel="0" collapsed="false"/>
    <row r="591" customFormat="false" ht="15.75" hidden="false" customHeight="true" outlineLevel="0" collapsed="false"/>
    <row r="592" customFormat="false" ht="15.75" hidden="false" customHeight="true" outlineLevel="0" collapsed="false"/>
    <row r="593" customFormat="false" ht="15.75" hidden="false" customHeight="true" outlineLevel="0" collapsed="false"/>
    <row r="594" customFormat="false" ht="15.75" hidden="false" customHeight="true" outlineLevel="0" collapsed="false"/>
    <row r="595" customFormat="false" ht="15.75" hidden="false" customHeight="true" outlineLevel="0" collapsed="false"/>
    <row r="596" customFormat="false" ht="15.75" hidden="false" customHeight="true" outlineLevel="0" collapsed="false"/>
    <row r="597" customFormat="false" ht="15.75" hidden="false" customHeight="true" outlineLevel="0" collapsed="false"/>
    <row r="598" customFormat="false" ht="15.75" hidden="false" customHeight="true" outlineLevel="0" collapsed="false"/>
    <row r="599" customFormat="false" ht="15.75" hidden="false" customHeight="true" outlineLevel="0" collapsed="false"/>
    <row r="600" customFormat="false" ht="15.75" hidden="false" customHeight="true" outlineLevel="0" collapsed="false"/>
    <row r="601" customFormat="false" ht="15.75" hidden="false" customHeight="true" outlineLevel="0" collapsed="false"/>
    <row r="602" customFormat="false" ht="15.75" hidden="false" customHeight="true" outlineLevel="0" collapsed="false"/>
    <row r="603" customFormat="false" ht="15.75" hidden="false" customHeight="true" outlineLevel="0" collapsed="false"/>
    <row r="604" customFormat="false" ht="15.75" hidden="false" customHeight="true" outlineLevel="0" collapsed="false"/>
    <row r="605" customFormat="false" ht="15.75" hidden="false" customHeight="true" outlineLevel="0" collapsed="false"/>
    <row r="606" customFormat="false" ht="15.75" hidden="false" customHeight="true" outlineLevel="0" collapsed="false"/>
    <row r="607" customFormat="false" ht="15.75" hidden="false" customHeight="true" outlineLevel="0" collapsed="false"/>
    <row r="608" customFormat="false" ht="15.75" hidden="false" customHeight="true" outlineLevel="0" collapsed="false"/>
    <row r="609" customFormat="false" ht="15.75" hidden="false" customHeight="true" outlineLevel="0" collapsed="false"/>
    <row r="610" customFormat="false" ht="15.75" hidden="false" customHeight="true" outlineLevel="0" collapsed="false"/>
    <row r="611" customFormat="false" ht="15.75" hidden="false" customHeight="true" outlineLevel="0" collapsed="false"/>
    <row r="612" customFormat="false" ht="15.75" hidden="false" customHeight="true" outlineLevel="0" collapsed="false"/>
    <row r="613" customFormat="false" ht="15.75" hidden="false" customHeight="true" outlineLevel="0" collapsed="false"/>
    <row r="614" customFormat="false" ht="15.75" hidden="false" customHeight="true" outlineLevel="0" collapsed="false"/>
    <row r="615" customFormat="false" ht="15.75" hidden="false" customHeight="true" outlineLevel="0" collapsed="false"/>
    <row r="616" customFormat="false" ht="15.75" hidden="false" customHeight="true" outlineLevel="0" collapsed="false"/>
    <row r="617" customFormat="false" ht="15.75" hidden="false" customHeight="true" outlineLevel="0" collapsed="false"/>
    <row r="618" customFormat="false" ht="15.75" hidden="false" customHeight="true" outlineLevel="0" collapsed="false"/>
    <row r="619" customFormat="false" ht="15.75" hidden="false" customHeight="true" outlineLevel="0" collapsed="false"/>
    <row r="620" customFormat="false" ht="15.75" hidden="false" customHeight="true" outlineLevel="0" collapsed="false"/>
    <row r="621" customFormat="false" ht="15.75" hidden="false" customHeight="true" outlineLevel="0" collapsed="false"/>
    <row r="622" customFormat="false" ht="15.75" hidden="false" customHeight="true" outlineLevel="0" collapsed="false"/>
    <row r="623" customFormat="false" ht="15.75" hidden="false" customHeight="true" outlineLevel="0" collapsed="false"/>
    <row r="624" customFormat="false" ht="15.75" hidden="false" customHeight="true" outlineLevel="0" collapsed="false"/>
    <row r="625" customFormat="false" ht="15.75" hidden="false" customHeight="true" outlineLevel="0" collapsed="false"/>
    <row r="626" customFormat="false" ht="15.75" hidden="false" customHeight="true" outlineLevel="0" collapsed="false"/>
    <row r="627" customFormat="false" ht="15.75" hidden="false" customHeight="true" outlineLevel="0" collapsed="false"/>
    <row r="628" customFormat="false" ht="15.75" hidden="false" customHeight="true" outlineLevel="0" collapsed="false"/>
    <row r="629" customFormat="false" ht="15.75" hidden="false" customHeight="true" outlineLevel="0" collapsed="false"/>
    <row r="630" customFormat="false" ht="15.75" hidden="false" customHeight="true" outlineLevel="0" collapsed="false"/>
    <row r="631" customFormat="false" ht="15.75" hidden="false" customHeight="true" outlineLevel="0" collapsed="false"/>
    <row r="632" customFormat="false" ht="15.75" hidden="false" customHeight="true" outlineLevel="0" collapsed="false"/>
    <row r="633" customFormat="false" ht="15.75" hidden="false" customHeight="true" outlineLevel="0" collapsed="false"/>
    <row r="634" customFormat="false" ht="15.75" hidden="false" customHeight="true" outlineLevel="0" collapsed="false"/>
    <row r="635" customFormat="false" ht="15.75" hidden="false" customHeight="true" outlineLevel="0" collapsed="false"/>
    <row r="636" customFormat="false" ht="15.75" hidden="false" customHeight="true" outlineLevel="0" collapsed="false"/>
    <row r="637" customFormat="false" ht="15.75" hidden="false" customHeight="true" outlineLevel="0" collapsed="false"/>
    <row r="638" customFormat="false" ht="15.75" hidden="false" customHeight="true" outlineLevel="0" collapsed="false"/>
    <row r="639" customFormat="false" ht="15.75" hidden="false" customHeight="true" outlineLevel="0" collapsed="false"/>
    <row r="640" customFormat="false" ht="15.75" hidden="false" customHeight="true" outlineLevel="0" collapsed="false"/>
    <row r="641" customFormat="false" ht="15.75" hidden="false" customHeight="true" outlineLevel="0" collapsed="false"/>
    <row r="642" customFormat="false" ht="15.75" hidden="false" customHeight="true" outlineLevel="0" collapsed="false"/>
    <row r="643" customFormat="false" ht="15.75" hidden="false" customHeight="true" outlineLevel="0" collapsed="false"/>
    <row r="644" customFormat="false" ht="15.75" hidden="false" customHeight="true" outlineLevel="0" collapsed="false"/>
    <row r="645" customFormat="false" ht="15.75" hidden="false" customHeight="true" outlineLevel="0" collapsed="false"/>
    <row r="646" customFormat="false" ht="15.75" hidden="false" customHeight="true" outlineLevel="0" collapsed="false"/>
    <row r="647" customFormat="false" ht="15.75" hidden="false" customHeight="true" outlineLevel="0" collapsed="false"/>
    <row r="648" customFormat="false" ht="15.75" hidden="false" customHeight="true" outlineLevel="0" collapsed="false"/>
    <row r="649" customFormat="false" ht="15.75" hidden="false" customHeight="true" outlineLevel="0" collapsed="false"/>
    <row r="650" customFormat="false" ht="15.75" hidden="false" customHeight="true" outlineLevel="0" collapsed="false"/>
    <row r="651" customFormat="false" ht="15.75" hidden="false" customHeight="true" outlineLevel="0" collapsed="false"/>
    <row r="652" customFormat="false" ht="15.75" hidden="false" customHeight="true" outlineLevel="0" collapsed="false"/>
    <row r="653" customFormat="false" ht="15.75" hidden="false" customHeight="true" outlineLevel="0" collapsed="false"/>
    <row r="654" customFormat="false" ht="15.75" hidden="false" customHeight="true" outlineLevel="0" collapsed="false"/>
    <row r="655" customFormat="false" ht="15.75" hidden="false" customHeight="true" outlineLevel="0" collapsed="false"/>
    <row r="656" customFormat="false" ht="15.75" hidden="false" customHeight="true" outlineLevel="0" collapsed="false"/>
    <row r="657" customFormat="false" ht="15.75" hidden="false" customHeight="true" outlineLevel="0" collapsed="false"/>
    <row r="658" customFormat="false" ht="15.75" hidden="false" customHeight="true" outlineLevel="0" collapsed="false"/>
    <row r="659" customFormat="false" ht="15.75" hidden="false" customHeight="true" outlineLevel="0" collapsed="false"/>
    <row r="660" customFormat="false" ht="15.75" hidden="false" customHeight="true" outlineLevel="0" collapsed="false"/>
    <row r="661" customFormat="false" ht="15.75" hidden="false" customHeight="true" outlineLevel="0" collapsed="false"/>
    <row r="662" customFormat="false" ht="15.75" hidden="false" customHeight="true" outlineLevel="0" collapsed="false"/>
    <row r="663" customFormat="false" ht="15.75" hidden="false" customHeight="true" outlineLevel="0" collapsed="false"/>
    <row r="664" customFormat="false" ht="15.75" hidden="false" customHeight="true" outlineLevel="0" collapsed="false"/>
    <row r="665" customFormat="false" ht="15.75" hidden="false" customHeight="true" outlineLevel="0" collapsed="false"/>
    <row r="666" customFormat="false" ht="15.75" hidden="false" customHeight="true" outlineLevel="0" collapsed="false"/>
    <row r="667" customFormat="false" ht="15.75" hidden="false" customHeight="true" outlineLevel="0" collapsed="false"/>
    <row r="668" customFormat="false" ht="15.75" hidden="false" customHeight="true" outlineLevel="0" collapsed="false"/>
    <row r="669" customFormat="false" ht="15.75" hidden="false" customHeight="true" outlineLevel="0" collapsed="false"/>
    <row r="670" customFormat="false" ht="15.75" hidden="false" customHeight="true" outlineLevel="0" collapsed="false"/>
    <row r="671" customFormat="false" ht="15.75" hidden="false" customHeight="true" outlineLevel="0" collapsed="false"/>
    <row r="672" customFormat="false" ht="15.75" hidden="false" customHeight="true" outlineLevel="0" collapsed="false"/>
    <row r="673" customFormat="false" ht="15.75" hidden="false" customHeight="true" outlineLevel="0" collapsed="false"/>
    <row r="674" customFormat="false" ht="15.75" hidden="false" customHeight="true" outlineLevel="0" collapsed="false"/>
    <row r="675" customFormat="false" ht="15.75" hidden="false" customHeight="true" outlineLevel="0" collapsed="false"/>
    <row r="676" customFormat="false" ht="15.75" hidden="false" customHeight="true" outlineLevel="0" collapsed="false"/>
    <row r="677" customFormat="false" ht="15.75" hidden="false" customHeight="true" outlineLevel="0" collapsed="false"/>
    <row r="678" customFormat="false" ht="15.75" hidden="false" customHeight="true" outlineLevel="0" collapsed="false"/>
    <row r="679" customFormat="false" ht="15.75" hidden="false" customHeight="true" outlineLevel="0" collapsed="false"/>
    <row r="680" customFormat="false" ht="15.75" hidden="false" customHeight="true" outlineLevel="0" collapsed="false"/>
    <row r="681" customFormat="false" ht="15.75" hidden="false" customHeight="true" outlineLevel="0" collapsed="false"/>
    <row r="682" customFormat="false" ht="15.75" hidden="false" customHeight="true" outlineLevel="0" collapsed="false"/>
    <row r="683" customFormat="false" ht="15.75" hidden="false" customHeight="true" outlineLevel="0" collapsed="false"/>
    <row r="684" customFormat="false" ht="15.75" hidden="false" customHeight="true" outlineLevel="0" collapsed="false"/>
    <row r="685" customFormat="false" ht="15.75" hidden="false" customHeight="true" outlineLevel="0" collapsed="false"/>
    <row r="686" customFormat="false" ht="15.75" hidden="false" customHeight="true" outlineLevel="0" collapsed="false"/>
    <row r="687" customFormat="false" ht="15.75" hidden="false" customHeight="true" outlineLevel="0" collapsed="false"/>
    <row r="688" customFormat="false" ht="15.75" hidden="false" customHeight="true" outlineLevel="0" collapsed="false"/>
    <row r="689" customFormat="false" ht="15.75" hidden="false" customHeight="true" outlineLevel="0" collapsed="false"/>
    <row r="690" customFormat="false" ht="15.75" hidden="false" customHeight="true" outlineLevel="0" collapsed="false"/>
    <row r="691" customFormat="false" ht="15.75" hidden="false" customHeight="true" outlineLevel="0" collapsed="false"/>
    <row r="692" customFormat="false" ht="15.75" hidden="false" customHeight="true" outlineLevel="0" collapsed="false"/>
    <row r="693" customFormat="false" ht="15.75" hidden="false" customHeight="true" outlineLevel="0" collapsed="false"/>
    <row r="694" customFormat="false" ht="15.75" hidden="false" customHeight="true" outlineLevel="0" collapsed="false"/>
    <row r="695" customFormat="false" ht="15.75" hidden="false" customHeight="true" outlineLevel="0" collapsed="false"/>
    <row r="696" customFormat="false" ht="15.75" hidden="false" customHeight="true" outlineLevel="0" collapsed="false"/>
    <row r="697" customFormat="false" ht="15.75" hidden="false" customHeight="true" outlineLevel="0" collapsed="false"/>
    <row r="698" customFormat="false" ht="15.75" hidden="false" customHeight="true" outlineLevel="0" collapsed="false"/>
    <row r="699" customFormat="false" ht="15.75" hidden="false" customHeight="true" outlineLevel="0" collapsed="false"/>
    <row r="700" customFormat="false" ht="15.75" hidden="false" customHeight="true" outlineLevel="0" collapsed="false"/>
    <row r="701" customFormat="false" ht="15.75" hidden="false" customHeight="true" outlineLevel="0" collapsed="false"/>
    <row r="702" customFormat="false" ht="15.75" hidden="false" customHeight="true" outlineLevel="0" collapsed="false"/>
    <row r="703" customFormat="false" ht="15.75" hidden="false" customHeight="true" outlineLevel="0" collapsed="false"/>
    <row r="704" customFormat="false" ht="15.75" hidden="false" customHeight="true" outlineLevel="0" collapsed="false"/>
    <row r="705" customFormat="false" ht="15.75" hidden="false" customHeight="true" outlineLevel="0" collapsed="false"/>
    <row r="706" customFormat="false" ht="15.75" hidden="false" customHeight="true" outlineLevel="0" collapsed="false"/>
    <row r="707" customFormat="false" ht="15.75" hidden="false" customHeight="true" outlineLevel="0" collapsed="false"/>
    <row r="708" customFormat="false" ht="15.75" hidden="false" customHeight="true" outlineLevel="0" collapsed="false"/>
    <row r="709" customFormat="false" ht="15.75" hidden="false" customHeight="true" outlineLevel="0" collapsed="false"/>
    <row r="710" customFormat="false" ht="15.75" hidden="false" customHeight="true" outlineLevel="0" collapsed="false"/>
    <row r="711" customFormat="false" ht="15.75" hidden="false" customHeight="true" outlineLevel="0" collapsed="false"/>
    <row r="712" customFormat="false" ht="15.75" hidden="false" customHeight="true" outlineLevel="0" collapsed="false"/>
    <row r="713" customFormat="false" ht="15.75" hidden="false" customHeight="true" outlineLevel="0" collapsed="false"/>
    <row r="714" customFormat="false" ht="15.75" hidden="false" customHeight="true" outlineLevel="0" collapsed="false"/>
    <row r="715" customFormat="false" ht="15.75" hidden="false" customHeight="true" outlineLevel="0" collapsed="false"/>
    <row r="716" customFormat="false" ht="15.75" hidden="false" customHeight="true" outlineLevel="0" collapsed="false"/>
    <row r="717" customFormat="false" ht="15.75" hidden="false" customHeight="true" outlineLevel="0" collapsed="false"/>
    <row r="718" customFormat="false" ht="15.75" hidden="false" customHeight="true" outlineLevel="0" collapsed="false"/>
    <row r="719" customFormat="false" ht="15.75" hidden="false" customHeight="true" outlineLevel="0" collapsed="false"/>
    <row r="720" customFormat="false" ht="15.75" hidden="false" customHeight="true" outlineLevel="0" collapsed="false"/>
    <row r="721" customFormat="false" ht="15.75" hidden="false" customHeight="true" outlineLevel="0" collapsed="false"/>
    <row r="722" customFormat="false" ht="15.75" hidden="false" customHeight="true" outlineLevel="0" collapsed="false"/>
    <row r="723" customFormat="false" ht="15.75" hidden="false" customHeight="true" outlineLevel="0" collapsed="false"/>
    <row r="724" customFormat="false" ht="15.75" hidden="false" customHeight="true" outlineLevel="0" collapsed="false"/>
    <row r="725" customFormat="false" ht="15.75" hidden="false" customHeight="true" outlineLevel="0" collapsed="false"/>
    <row r="726" customFormat="false" ht="15.75" hidden="false" customHeight="true" outlineLevel="0" collapsed="false"/>
    <row r="727" customFormat="false" ht="15.75" hidden="false" customHeight="true" outlineLevel="0" collapsed="false"/>
    <row r="728" customFormat="false" ht="15.75" hidden="false" customHeight="true" outlineLevel="0" collapsed="false"/>
    <row r="729" customFormat="false" ht="15.75" hidden="false" customHeight="true" outlineLevel="0" collapsed="false"/>
    <row r="730" customFormat="false" ht="15.75" hidden="false" customHeight="true" outlineLevel="0" collapsed="false"/>
    <row r="731" customFormat="false" ht="15.75" hidden="false" customHeight="true" outlineLevel="0" collapsed="false"/>
    <row r="732" customFormat="false" ht="15.75" hidden="false" customHeight="true" outlineLevel="0" collapsed="false"/>
    <row r="733" customFormat="false" ht="15.75" hidden="false" customHeight="true" outlineLevel="0" collapsed="false"/>
    <row r="734" customFormat="false" ht="15.75" hidden="false" customHeight="true" outlineLevel="0" collapsed="false"/>
    <row r="735" customFormat="false" ht="15.75" hidden="false" customHeight="true" outlineLevel="0" collapsed="false"/>
    <row r="736" customFormat="false" ht="15.75" hidden="false" customHeight="true" outlineLevel="0" collapsed="false"/>
    <row r="737" customFormat="false" ht="15.75" hidden="false" customHeight="true" outlineLevel="0" collapsed="false"/>
    <row r="738" customFormat="false" ht="15.75" hidden="false" customHeight="true" outlineLevel="0" collapsed="false"/>
    <row r="739" customFormat="false" ht="15.75" hidden="false" customHeight="true" outlineLevel="0" collapsed="false"/>
    <row r="740" customFormat="false" ht="15.75" hidden="false" customHeight="true" outlineLevel="0" collapsed="false"/>
    <row r="741" customFormat="false" ht="15.75" hidden="false" customHeight="true" outlineLevel="0" collapsed="false"/>
    <row r="742" customFormat="false" ht="15.75" hidden="false" customHeight="true" outlineLevel="0" collapsed="false"/>
    <row r="743" customFormat="false" ht="15.75" hidden="false" customHeight="true" outlineLevel="0" collapsed="false"/>
    <row r="744" customFormat="false" ht="15.75" hidden="false" customHeight="true" outlineLevel="0" collapsed="false"/>
    <row r="745" customFormat="false" ht="15.75" hidden="false" customHeight="true" outlineLevel="0" collapsed="false"/>
    <row r="746" customFormat="false" ht="15.75" hidden="false" customHeight="true" outlineLevel="0" collapsed="false"/>
    <row r="747" customFormat="false" ht="15.75" hidden="false" customHeight="true" outlineLevel="0" collapsed="false"/>
    <row r="748" customFormat="false" ht="15.75" hidden="false" customHeight="true" outlineLevel="0" collapsed="false"/>
    <row r="749" customFormat="false" ht="15.75" hidden="false" customHeight="true" outlineLevel="0" collapsed="false"/>
    <row r="750" customFormat="false" ht="15.75" hidden="false" customHeight="true" outlineLevel="0" collapsed="false"/>
    <row r="751" customFormat="false" ht="15.75" hidden="false" customHeight="true" outlineLevel="0" collapsed="false"/>
    <row r="752" customFormat="false" ht="15.75" hidden="false" customHeight="true" outlineLevel="0" collapsed="false"/>
    <row r="753" customFormat="false" ht="15.75" hidden="false" customHeight="true" outlineLevel="0" collapsed="false"/>
    <row r="754" customFormat="false" ht="15.75" hidden="false" customHeight="true" outlineLevel="0" collapsed="false"/>
    <row r="755" customFormat="false" ht="15.75" hidden="false" customHeight="true" outlineLevel="0" collapsed="false"/>
    <row r="756" customFormat="false" ht="15.75" hidden="false" customHeight="true" outlineLevel="0" collapsed="false"/>
    <row r="757" customFormat="false" ht="15.75" hidden="false" customHeight="true" outlineLevel="0" collapsed="false"/>
    <row r="758" customFormat="false" ht="15.75" hidden="false" customHeight="true" outlineLevel="0" collapsed="false"/>
    <row r="759" customFormat="false" ht="15.75" hidden="false" customHeight="true" outlineLevel="0" collapsed="false"/>
    <row r="760" customFormat="false" ht="15.75" hidden="false" customHeight="true" outlineLevel="0" collapsed="false"/>
    <row r="761" customFormat="false" ht="15.75" hidden="false" customHeight="true" outlineLevel="0" collapsed="false"/>
    <row r="762" customFormat="false" ht="15.75" hidden="false" customHeight="true" outlineLevel="0" collapsed="false"/>
    <row r="763" customFormat="false" ht="15.75" hidden="false" customHeight="true" outlineLevel="0" collapsed="false"/>
    <row r="764" customFormat="false" ht="15.75" hidden="false" customHeight="true" outlineLevel="0" collapsed="false"/>
    <row r="765" customFormat="false" ht="15.75" hidden="false" customHeight="true" outlineLevel="0" collapsed="false"/>
    <row r="766" customFormat="false" ht="15.75" hidden="false" customHeight="true" outlineLevel="0" collapsed="false"/>
    <row r="767" customFormat="false" ht="15.75" hidden="false" customHeight="true" outlineLevel="0" collapsed="false"/>
    <row r="768" customFormat="false" ht="15.75" hidden="false" customHeight="true" outlineLevel="0" collapsed="false"/>
    <row r="769" customFormat="false" ht="15.75" hidden="false" customHeight="true" outlineLevel="0" collapsed="false"/>
    <row r="770" customFormat="false" ht="15.75" hidden="false" customHeight="true" outlineLevel="0" collapsed="false"/>
    <row r="771" customFormat="false" ht="15.75" hidden="false" customHeight="true" outlineLevel="0" collapsed="false"/>
    <row r="772" customFormat="false" ht="15.75" hidden="false" customHeight="true" outlineLevel="0" collapsed="false"/>
    <row r="773" customFormat="false" ht="15.75" hidden="false" customHeight="true" outlineLevel="0" collapsed="false"/>
    <row r="774" customFormat="false" ht="15.75" hidden="false" customHeight="true" outlineLevel="0" collapsed="false"/>
    <row r="775" customFormat="false" ht="15.75" hidden="false" customHeight="true" outlineLevel="0" collapsed="false"/>
    <row r="776" customFormat="false" ht="15.75" hidden="false" customHeight="true" outlineLevel="0" collapsed="false"/>
    <row r="777" customFormat="false" ht="15.75" hidden="false" customHeight="true" outlineLevel="0" collapsed="false"/>
    <row r="778" customFormat="false" ht="15.75" hidden="false" customHeight="true" outlineLevel="0" collapsed="false"/>
    <row r="779" customFormat="false" ht="15.75" hidden="false" customHeight="true" outlineLevel="0" collapsed="false"/>
    <row r="780" customFormat="false" ht="15.75" hidden="false" customHeight="true" outlineLevel="0" collapsed="false"/>
    <row r="781" customFormat="false" ht="15.75" hidden="false" customHeight="true" outlineLevel="0" collapsed="false"/>
    <row r="782" customFormat="false" ht="15.75" hidden="false" customHeight="true" outlineLevel="0" collapsed="false"/>
    <row r="783" customFormat="false" ht="15.75" hidden="false" customHeight="true" outlineLevel="0" collapsed="false"/>
    <row r="784" customFormat="false" ht="15.75" hidden="false" customHeight="true" outlineLevel="0" collapsed="false"/>
    <row r="785" customFormat="false" ht="15.75" hidden="false" customHeight="true" outlineLevel="0" collapsed="false"/>
    <row r="786" customFormat="false" ht="15.75" hidden="false" customHeight="true" outlineLevel="0" collapsed="false"/>
    <row r="787" customFormat="false" ht="15.75" hidden="false" customHeight="true" outlineLevel="0" collapsed="false"/>
    <row r="788" customFormat="false" ht="15.75" hidden="false" customHeight="true" outlineLevel="0" collapsed="false"/>
    <row r="789" customFormat="false" ht="15.75" hidden="false" customHeight="true" outlineLevel="0" collapsed="false"/>
    <row r="790" customFormat="false" ht="15.75" hidden="false" customHeight="true" outlineLevel="0" collapsed="false"/>
    <row r="791" customFormat="false" ht="15.75" hidden="false" customHeight="true" outlineLevel="0" collapsed="false"/>
    <row r="792" customFormat="false" ht="15.75" hidden="false" customHeight="true" outlineLevel="0" collapsed="false"/>
    <row r="793" customFormat="false" ht="15.75" hidden="false" customHeight="true" outlineLevel="0" collapsed="false"/>
    <row r="794" customFormat="false" ht="15.75" hidden="false" customHeight="true" outlineLevel="0" collapsed="false"/>
    <row r="795" customFormat="false" ht="15.75" hidden="false" customHeight="true" outlineLevel="0" collapsed="false"/>
    <row r="796" customFormat="false" ht="15.75" hidden="false" customHeight="true" outlineLevel="0" collapsed="false"/>
    <row r="797" customFormat="false" ht="15.75" hidden="false" customHeight="true" outlineLevel="0" collapsed="false"/>
    <row r="798" customFormat="false" ht="15.75" hidden="false" customHeight="true" outlineLevel="0" collapsed="false"/>
    <row r="799" customFormat="false" ht="15.75" hidden="false" customHeight="true" outlineLevel="0" collapsed="false"/>
    <row r="800" customFormat="false" ht="15.75" hidden="false" customHeight="true" outlineLevel="0" collapsed="false"/>
    <row r="801" customFormat="false" ht="15.75" hidden="false" customHeight="true" outlineLevel="0" collapsed="false"/>
    <row r="802" customFormat="false" ht="15.75" hidden="false" customHeight="true" outlineLevel="0" collapsed="false"/>
    <row r="803" customFormat="false" ht="15.75" hidden="false" customHeight="true" outlineLevel="0" collapsed="false"/>
    <row r="804" customFormat="false" ht="15.75" hidden="false" customHeight="true" outlineLevel="0" collapsed="false"/>
    <row r="805" customFormat="false" ht="15.75" hidden="false" customHeight="true" outlineLevel="0" collapsed="false"/>
    <row r="806" customFormat="false" ht="15.75" hidden="false" customHeight="true" outlineLevel="0" collapsed="false"/>
    <row r="807" customFormat="false" ht="15.75" hidden="false" customHeight="true" outlineLevel="0" collapsed="false"/>
    <row r="808" customFormat="false" ht="15.75" hidden="false" customHeight="true" outlineLevel="0" collapsed="false"/>
    <row r="809" customFormat="false" ht="15.75" hidden="false" customHeight="true" outlineLevel="0" collapsed="false"/>
    <row r="810" customFormat="false" ht="15.75" hidden="false" customHeight="true" outlineLevel="0" collapsed="false"/>
    <row r="811" customFormat="false" ht="15.75" hidden="false" customHeight="true" outlineLevel="0" collapsed="false"/>
    <row r="812" customFormat="false" ht="15.75" hidden="false" customHeight="true" outlineLevel="0" collapsed="false"/>
    <row r="813" customFormat="false" ht="15.75" hidden="false" customHeight="true" outlineLevel="0" collapsed="false"/>
    <row r="814" customFormat="false" ht="15.75" hidden="false" customHeight="true" outlineLevel="0" collapsed="false"/>
    <row r="815" customFormat="false" ht="15.75" hidden="false" customHeight="true" outlineLevel="0" collapsed="false"/>
    <row r="816" customFormat="false" ht="15.75" hidden="false" customHeight="true" outlineLevel="0" collapsed="false"/>
    <row r="817" customFormat="false" ht="15.75" hidden="false" customHeight="true" outlineLevel="0" collapsed="false"/>
    <row r="818" customFormat="false" ht="15.75" hidden="false" customHeight="true" outlineLevel="0" collapsed="false"/>
    <row r="819" customFormat="false" ht="15.75" hidden="false" customHeight="true" outlineLevel="0" collapsed="false"/>
    <row r="820" customFormat="false" ht="15.75" hidden="false" customHeight="true" outlineLevel="0" collapsed="false"/>
    <row r="821" customFormat="false" ht="15.75" hidden="false" customHeight="true" outlineLevel="0" collapsed="false"/>
    <row r="822" customFormat="false" ht="15.75" hidden="false" customHeight="true" outlineLevel="0" collapsed="false"/>
    <row r="823" customFormat="false" ht="15.75" hidden="false" customHeight="true" outlineLevel="0" collapsed="false"/>
    <row r="824" customFormat="false" ht="15.75" hidden="false" customHeight="true" outlineLevel="0" collapsed="false"/>
    <row r="825" customFormat="false" ht="15.75" hidden="false" customHeight="true" outlineLevel="0" collapsed="false"/>
    <row r="826" customFormat="false" ht="15.75" hidden="false" customHeight="true" outlineLevel="0" collapsed="false"/>
    <row r="827" customFormat="false" ht="15.75" hidden="false" customHeight="true" outlineLevel="0" collapsed="false"/>
    <row r="828" customFormat="false" ht="15.75" hidden="false" customHeight="true" outlineLevel="0" collapsed="false"/>
    <row r="829" customFormat="false" ht="15.75" hidden="false" customHeight="true" outlineLevel="0" collapsed="false"/>
    <row r="830" customFormat="false" ht="15.75" hidden="false" customHeight="true" outlineLevel="0" collapsed="false"/>
    <row r="831" customFormat="false" ht="15.75" hidden="false" customHeight="true" outlineLevel="0" collapsed="false"/>
    <row r="832" customFormat="false" ht="15.75" hidden="false" customHeight="true" outlineLevel="0" collapsed="false"/>
    <row r="833" customFormat="false" ht="15.75" hidden="false" customHeight="true" outlineLevel="0" collapsed="false"/>
    <row r="834" customFormat="false" ht="15.75" hidden="false" customHeight="true" outlineLevel="0" collapsed="false"/>
    <row r="835" customFormat="false" ht="15.75" hidden="false" customHeight="true" outlineLevel="0" collapsed="false"/>
    <row r="836" customFormat="false" ht="15.75" hidden="false" customHeight="true" outlineLevel="0" collapsed="false"/>
    <row r="837" customFormat="false" ht="15.75" hidden="false" customHeight="true" outlineLevel="0" collapsed="false"/>
    <row r="838" customFormat="false" ht="15.75" hidden="false" customHeight="true" outlineLevel="0" collapsed="false"/>
    <row r="839" customFormat="false" ht="15.75" hidden="false" customHeight="true" outlineLevel="0" collapsed="false"/>
    <row r="840" customFormat="false" ht="15.75" hidden="false" customHeight="true" outlineLevel="0" collapsed="false"/>
    <row r="841" customFormat="false" ht="15.75" hidden="false" customHeight="true" outlineLevel="0" collapsed="false"/>
    <row r="842" customFormat="false" ht="15.75" hidden="false" customHeight="true" outlineLevel="0" collapsed="false"/>
    <row r="843" customFormat="false" ht="15.75" hidden="false" customHeight="true" outlineLevel="0" collapsed="false"/>
    <row r="844" customFormat="false" ht="15.75" hidden="false" customHeight="true" outlineLevel="0" collapsed="false"/>
    <row r="845" customFormat="false" ht="15.75" hidden="false" customHeight="true" outlineLevel="0" collapsed="false"/>
    <row r="846" customFormat="false" ht="15.75" hidden="false" customHeight="true" outlineLevel="0" collapsed="false"/>
    <row r="847" customFormat="false" ht="15.75" hidden="false" customHeight="true" outlineLevel="0" collapsed="false"/>
    <row r="848" customFormat="false" ht="15.75" hidden="false" customHeight="true" outlineLevel="0" collapsed="false"/>
    <row r="849" customFormat="false" ht="15.75" hidden="false" customHeight="true" outlineLevel="0" collapsed="false"/>
    <row r="850" customFormat="false" ht="15.75" hidden="false" customHeight="true" outlineLevel="0" collapsed="false"/>
    <row r="851" customFormat="false" ht="15.75" hidden="false" customHeight="true" outlineLevel="0" collapsed="false"/>
    <row r="852" customFormat="false" ht="15.75" hidden="false" customHeight="true" outlineLevel="0" collapsed="false"/>
    <row r="853" customFormat="false" ht="15.75" hidden="false" customHeight="true" outlineLevel="0" collapsed="false"/>
    <row r="854" customFormat="false" ht="15.75" hidden="false" customHeight="true" outlineLevel="0" collapsed="false"/>
    <row r="855" customFormat="false" ht="15.75" hidden="false" customHeight="true" outlineLevel="0" collapsed="false"/>
    <row r="856" customFormat="false" ht="15.75" hidden="false" customHeight="true" outlineLevel="0" collapsed="false"/>
    <row r="857" customFormat="false" ht="15.75" hidden="false" customHeight="true" outlineLevel="0" collapsed="false"/>
    <row r="858" customFormat="false" ht="15.75" hidden="false" customHeight="true" outlineLevel="0" collapsed="false"/>
    <row r="859" customFormat="false" ht="15.75" hidden="false" customHeight="true" outlineLevel="0" collapsed="false"/>
    <row r="860" customFormat="false" ht="15.75" hidden="false" customHeight="true" outlineLevel="0" collapsed="false"/>
    <row r="861" customFormat="false" ht="15.75" hidden="false" customHeight="true" outlineLevel="0" collapsed="false"/>
    <row r="862" customFormat="false" ht="15.75" hidden="false" customHeight="true" outlineLevel="0" collapsed="false"/>
    <row r="863" customFormat="false" ht="15.75" hidden="false" customHeight="true" outlineLevel="0" collapsed="false"/>
    <row r="864" customFormat="false" ht="15.75" hidden="false" customHeight="true" outlineLevel="0" collapsed="false"/>
    <row r="865" customFormat="false" ht="15.75" hidden="false" customHeight="true" outlineLevel="0" collapsed="false"/>
    <row r="866" customFormat="false" ht="15.75" hidden="false" customHeight="true" outlineLevel="0" collapsed="false"/>
    <row r="867" customFormat="false" ht="15.75" hidden="false" customHeight="true" outlineLevel="0" collapsed="false"/>
    <row r="868" customFormat="false" ht="15.75" hidden="false" customHeight="true" outlineLevel="0" collapsed="false"/>
    <row r="869" customFormat="false" ht="15.75" hidden="false" customHeight="true" outlineLevel="0" collapsed="false"/>
    <row r="870" customFormat="false" ht="15.75" hidden="false" customHeight="true" outlineLevel="0" collapsed="false"/>
    <row r="871" customFormat="false" ht="15.75" hidden="false" customHeight="true" outlineLevel="0" collapsed="false"/>
    <row r="872" customFormat="false" ht="15.75" hidden="false" customHeight="true" outlineLevel="0" collapsed="false"/>
    <row r="873" customFormat="false" ht="15.75" hidden="false" customHeight="true" outlineLevel="0" collapsed="false"/>
    <row r="874" customFormat="false" ht="15.75" hidden="false" customHeight="true" outlineLevel="0" collapsed="false"/>
    <row r="875" customFormat="false" ht="15.75" hidden="false" customHeight="true" outlineLevel="0" collapsed="false"/>
    <row r="876" customFormat="false" ht="15.75" hidden="false" customHeight="true" outlineLevel="0" collapsed="false"/>
    <row r="877" customFormat="false" ht="15.75" hidden="false" customHeight="true" outlineLevel="0" collapsed="false"/>
    <row r="878" customFormat="false" ht="15.75" hidden="false" customHeight="true" outlineLevel="0" collapsed="false"/>
    <row r="879" customFormat="false" ht="15.75" hidden="false" customHeight="true" outlineLevel="0" collapsed="false"/>
    <row r="880" customFormat="false" ht="15.75" hidden="false" customHeight="true" outlineLevel="0" collapsed="false"/>
    <row r="881" customFormat="false" ht="15.75" hidden="false" customHeight="true" outlineLevel="0" collapsed="false"/>
    <row r="882" customFormat="false" ht="15.75" hidden="false" customHeight="true" outlineLevel="0" collapsed="false"/>
    <row r="883" customFormat="false" ht="15.75" hidden="false" customHeight="true" outlineLevel="0" collapsed="false"/>
    <row r="884" customFormat="false" ht="15.75" hidden="false" customHeight="true" outlineLevel="0" collapsed="false"/>
    <row r="885" customFormat="false" ht="15.75" hidden="false" customHeight="true" outlineLevel="0" collapsed="false"/>
    <row r="886" customFormat="false" ht="15.75" hidden="false" customHeight="true" outlineLevel="0" collapsed="false"/>
    <row r="887" customFormat="false" ht="15.75" hidden="false" customHeight="true" outlineLevel="0" collapsed="false"/>
    <row r="888" customFormat="false" ht="15.75" hidden="false" customHeight="true" outlineLevel="0" collapsed="false"/>
    <row r="889" customFormat="false" ht="15.75" hidden="false" customHeight="true" outlineLevel="0" collapsed="false"/>
    <row r="890" customFormat="false" ht="15.75" hidden="false" customHeight="true" outlineLevel="0" collapsed="false"/>
    <row r="891" customFormat="false" ht="15.75" hidden="false" customHeight="true" outlineLevel="0" collapsed="false"/>
    <row r="892" customFormat="false" ht="15.75" hidden="false" customHeight="true" outlineLevel="0" collapsed="false"/>
    <row r="893" customFormat="false" ht="15.75" hidden="false" customHeight="true" outlineLevel="0" collapsed="false"/>
    <row r="894" customFormat="false" ht="15.75" hidden="false" customHeight="true" outlineLevel="0" collapsed="false"/>
    <row r="895" customFormat="false" ht="15.75" hidden="false" customHeight="true" outlineLevel="0" collapsed="false"/>
    <row r="896" customFormat="false" ht="15.75" hidden="false" customHeight="true" outlineLevel="0" collapsed="false"/>
    <row r="897" customFormat="false" ht="15.75" hidden="false" customHeight="true" outlineLevel="0" collapsed="false"/>
    <row r="898" customFormat="false" ht="15.75" hidden="false" customHeight="true" outlineLevel="0" collapsed="false"/>
    <row r="899" customFormat="false" ht="15.75" hidden="false" customHeight="true" outlineLevel="0" collapsed="false"/>
    <row r="900" customFormat="false" ht="15.75" hidden="false" customHeight="true" outlineLevel="0" collapsed="false"/>
    <row r="901" customFormat="false" ht="15.75" hidden="false" customHeight="true" outlineLevel="0" collapsed="false"/>
    <row r="902" customFormat="false" ht="15.75" hidden="false" customHeight="true" outlineLevel="0" collapsed="false"/>
    <row r="903" customFormat="false" ht="15.75" hidden="false" customHeight="true" outlineLevel="0" collapsed="false"/>
    <row r="904" customFormat="false" ht="15.75" hidden="false" customHeight="true" outlineLevel="0" collapsed="false"/>
    <row r="905" customFormat="false" ht="15.75" hidden="false" customHeight="true" outlineLevel="0" collapsed="false"/>
    <row r="906" customFormat="false" ht="15.75" hidden="false" customHeight="true" outlineLevel="0" collapsed="false"/>
    <row r="907" customFormat="false" ht="15.75" hidden="false" customHeight="true" outlineLevel="0" collapsed="false"/>
    <row r="908" customFormat="false" ht="15.75" hidden="false" customHeight="true" outlineLevel="0" collapsed="false"/>
    <row r="909" customFormat="false" ht="15.75" hidden="false" customHeight="true" outlineLevel="0" collapsed="false"/>
    <row r="910" customFormat="false" ht="15.75" hidden="false" customHeight="true" outlineLevel="0" collapsed="false"/>
    <row r="911" customFormat="false" ht="15.75" hidden="false" customHeight="true" outlineLevel="0" collapsed="false"/>
    <row r="912" customFormat="false" ht="15.75" hidden="false" customHeight="true" outlineLevel="0" collapsed="false"/>
    <row r="913" customFormat="false" ht="15.75" hidden="false" customHeight="true" outlineLevel="0" collapsed="false"/>
    <row r="914" customFormat="false" ht="15.75" hidden="false" customHeight="true" outlineLevel="0" collapsed="false"/>
    <row r="915" customFormat="false" ht="15.75" hidden="false" customHeight="true" outlineLevel="0" collapsed="false"/>
    <row r="916" customFormat="false" ht="15.75" hidden="false" customHeight="true" outlineLevel="0" collapsed="false"/>
    <row r="917" customFormat="false" ht="15.75" hidden="false" customHeight="true" outlineLevel="0" collapsed="false"/>
    <row r="918" customFormat="false" ht="15.75" hidden="false" customHeight="true" outlineLevel="0" collapsed="false"/>
    <row r="919" customFormat="false" ht="15.75" hidden="false" customHeight="true" outlineLevel="0" collapsed="false"/>
    <row r="920" customFormat="false" ht="15.75" hidden="false" customHeight="true" outlineLevel="0" collapsed="false"/>
    <row r="921" customFormat="false" ht="15.75" hidden="false" customHeight="true" outlineLevel="0" collapsed="false"/>
    <row r="922" customFormat="false" ht="15.75" hidden="false" customHeight="true" outlineLevel="0" collapsed="false"/>
    <row r="923" customFormat="false" ht="15.75" hidden="false" customHeight="true" outlineLevel="0" collapsed="false"/>
    <row r="924" customFormat="false" ht="15.75" hidden="false" customHeight="true" outlineLevel="0" collapsed="false"/>
    <row r="925" customFormat="false" ht="15.75" hidden="false" customHeight="true" outlineLevel="0" collapsed="false"/>
    <row r="926" customFormat="false" ht="15.75" hidden="false" customHeight="true" outlineLevel="0" collapsed="false"/>
    <row r="927" customFormat="false" ht="15.75" hidden="false" customHeight="true" outlineLevel="0" collapsed="false"/>
    <row r="928" customFormat="false" ht="15.75" hidden="false" customHeight="true" outlineLevel="0" collapsed="false"/>
    <row r="929" customFormat="false" ht="15.75" hidden="false" customHeight="true" outlineLevel="0" collapsed="false"/>
    <row r="930" customFormat="false" ht="15.75" hidden="false" customHeight="true" outlineLevel="0" collapsed="false"/>
    <row r="931" customFormat="false" ht="15.75" hidden="false" customHeight="true" outlineLevel="0" collapsed="false"/>
    <row r="932" customFormat="false" ht="15.75" hidden="false" customHeight="true" outlineLevel="0" collapsed="false"/>
    <row r="933" customFormat="false" ht="15.75" hidden="false" customHeight="true" outlineLevel="0" collapsed="false"/>
    <row r="934" customFormat="false" ht="15.75" hidden="false" customHeight="true" outlineLevel="0" collapsed="false"/>
    <row r="935" customFormat="false" ht="15.75" hidden="false" customHeight="true" outlineLevel="0" collapsed="false"/>
    <row r="936" customFormat="false" ht="15.75" hidden="false" customHeight="true" outlineLevel="0" collapsed="false"/>
    <row r="937" customFormat="false" ht="15.75" hidden="false" customHeight="true" outlineLevel="0" collapsed="false"/>
    <row r="938" customFormat="false" ht="15.75" hidden="false" customHeight="true" outlineLevel="0" collapsed="false"/>
    <row r="939" customFormat="false" ht="15.75" hidden="false" customHeight="true" outlineLevel="0" collapsed="false"/>
    <row r="940" customFormat="false" ht="15.75" hidden="false" customHeight="true" outlineLevel="0" collapsed="false"/>
    <row r="941" customFormat="false" ht="15.75" hidden="false" customHeight="true" outlineLevel="0" collapsed="false"/>
    <row r="942" customFormat="false" ht="15.75" hidden="false" customHeight="true" outlineLevel="0" collapsed="false"/>
    <row r="943" customFormat="false" ht="15.75" hidden="false" customHeight="true" outlineLevel="0" collapsed="false"/>
    <row r="944" customFormat="false" ht="15.75" hidden="false" customHeight="true" outlineLevel="0" collapsed="false"/>
    <row r="945" customFormat="false" ht="15.75" hidden="false" customHeight="true" outlineLevel="0" collapsed="false"/>
    <row r="946" customFormat="false" ht="15.75" hidden="false" customHeight="true" outlineLevel="0" collapsed="false"/>
    <row r="947" customFormat="false" ht="15.75" hidden="false" customHeight="true" outlineLevel="0" collapsed="false"/>
    <row r="948" customFormat="false" ht="15.75" hidden="false" customHeight="true" outlineLevel="0" collapsed="false"/>
    <row r="949" customFormat="false" ht="15.75" hidden="false" customHeight="true" outlineLevel="0" collapsed="false"/>
    <row r="950" customFormat="false" ht="15.75" hidden="false" customHeight="true" outlineLevel="0" collapsed="false"/>
    <row r="951" customFormat="false" ht="15.75" hidden="false" customHeight="true" outlineLevel="0" collapsed="false"/>
    <row r="952" customFormat="false" ht="15.75" hidden="false" customHeight="true" outlineLevel="0" collapsed="false"/>
    <row r="953" customFormat="false" ht="15.75" hidden="false" customHeight="true" outlineLevel="0" collapsed="false"/>
    <row r="954" customFormat="false" ht="15.75" hidden="false" customHeight="true" outlineLevel="0" collapsed="false"/>
    <row r="955" customFormat="false" ht="15.75" hidden="false" customHeight="true" outlineLevel="0" collapsed="false"/>
    <row r="956" customFormat="false" ht="15.75" hidden="false" customHeight="true" outlineLevel="0" collapsed="false"/>
    <row r="957" customFormat="false" ht="15.75" hidden="false" customHeight="true" outlineLevel="0" collapsed="false"/>
    <row r="958" customFormat="false" ht="15.75" hidden="false" customHeight="true" outlineLevel="0" collapsed="false"/>
    <row r="959" customFormat="false" ht="15.75" hidden="false" customHeight="true" outlineLevel="0" collapsed="false"/>
    <row r="960" customFormat="false" ht="15.75" hidden="false" customHeight="true" outlineLevel="0" collapsed="false"/>
    <row r="961" customFormat="false" ht="15.75" hidden="false" customHeight="true" outlineLevel="0" collapsed="false"/>
    <row r="962" customFormat="false" ht="15.75" hidden="false" customHeight="true" outlineLevel="0" collapsed="false"/>
    <row r="963" customFormat="false" ht="15.75" hidden="false" customHeight="true" outlineLevel="0" collapsed="false"/>
    <row r="964" customFormat="false" ht="15.75" hidden="false" customHeight="true" outlineLevel="0" collapsed="false"/>
    <row r="965" customFormat="false" ht="15.75" hidden="false" customHeight="true" outlineLevel="0" collapsed="false"/>
    <row r="966" customFormat="false" ht="15.75" hidden="false" customHeight="true" outlineLevel="0" collapsed="false"/>
    <row r="967" customFormat="false" ht="15.75" hidden="false" customHeight="true" outlineLevel="0" collapsed="false"/>
    <row r="968" customFormat="false" ht="15.75" hidden="false" customHeight="true" outlineLevel="0" collapsed="false"/>
    <row r="969" customFormat="false" ht="15.75" hidden="false" customHeight="true" outlineLevel="0" collapsed="false"/>
    <row r="970" customFormat="false" ht="15.75" hidden="false" customHeight="true" outlineLevel="0" collapsed="false"/>
    <row r="971" customFormat="false" ht="15.75" hidden="false" customHeight="true" outlineLevel="0" collapsed="false"/>
    <row r="972" customFormat="false" ht="15.75" hidden="false" customHeight="true" outlineLevel="0" collapsed="false"/>
    <row r="973" customFormat="false" ht="15.75" hidden="false" customHeight="true" outlineLevel="0" collapsed="false"/>
    <row r="974" customFormat="false" ht="15.75" hidden="false" customHeight="true" outlineLevel="0" collapsed="false"/>
    <row r="975" customFormat="false" ht="15.75" hidden="false" customHeight="true" outlineLevel="0" collapsed="false"/>
    <row r="976" customFormat="false" ht="15.75" hidden="false" customHeight="true" outlineLevel="0" collapsed="false"/>
    <row r="977" customFormat="false" ht="15.75" hidden="false" customHeight="true" outlineLevel="0" collapsed="false"/>
    <row r="978" customFormat="false" ht="15.75" hidden="false" customHeight="true" outlineLevel="0" collapsed="false"/>
    <row r="979" customFormat="false" ht="15.75" hidden="false" customHeight="true" outlineLevel="0" collapsed="false"/>
    <row r="980" customFormat="false" ht="15.75" hidden="false" customHeight="true" outlineLevel="0" collapsed="false"/>
    <row r="981" customFormat="false" ht="15.75" hidden="false" customHeight="true" outlineLevel="0" collapsed="false"/>
    <row r="982" customFormat="false" ht="15.75" hidden="false" customHeight="true" outlineLevel="0" collapsed="false"/>
    <row r="983" customFormat="false" ht="15.75" hidden="false" customHeight="true" outlineLevel="0" collapsed="false"/>
    <row r="984" customFormat="false" ht="15.75" hidden="false" customHeight="true" outlineLevel="0" collapsed="false"/>
    <row r="985" customFormat="false" ht="15.75" hidden="false" customHeight="true" outlineLevel="0" collapsed="false"/>
    <row r="986" customFormat="false" ht="15.75" hidden="false" customHeight="true" outlineLevel="0" collapsed="false"/>
    <row r="987" customFormat="false" ht="15.75" hidden="false" customHeight="true" outlineLevel="0" collapsed="false"/>
    <row r="988" customFormat="false" ht="15.75" hidden="false" customHeight="true" outlineLevel="0" collapsed="false"/>
    <row r="989" customFormat="false" ht="15.75" hidden="false" customHeight="true" outlineLevel="0" collapsed="false"/>
    <row r="990" customFormat="false" ht="15.75" hidden="false" customHeight="true" outlineLevel="0" collapsed="false"/>
    <row r="991" customFormat="false" ht="15.75" hidden="false" customHeight="true" outlineLevel="0" collapsed="false"/>
    <row r="992" customFormat="false" ht="15.75" hidden="false" customHeight="true" outlineLevel="0" collapsed="false"/>
    <row r="993" customFormat="false" ht="15.75" hidden="false" customHeight="true" outlineLevel="0" collapsed="false"/>
    <row r="994" customFormat="false" ht="15.75" hidden="false" customHeight="true" outlineLevel="0" collapsed="false"/>
    <row r="995" customFormat="false" ht="15.75" hidden="false" customHeight="true" outlineLevel="0" collapsed="false"/>
    <row r="996" customFormat="false" ht="15.75" hidden="false" customHeight="true" outlineLevel="0" collapsed="false"/>
    <row r="997" customFormat="false" ht="15.75" hidden="false" customHeight="true" outlineLevel="0" collapsed="false"/>
    <row r="998" customFormat="false" ht="15.75" hidden="false" customHeight="true" outlineLevel="0" collapsed="false"/>
    <row r="999" customFormat="false" ht="15.75" hidden="false" customHeight="true" outlineLevel="0" collapsed="false"/>
    <row r="1000" customFormat="false" ht="15.75" hidden="false" customHeight="true" outlineLevel="0" collapsed="false"/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A100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M19" activeCellId="0" sqref="M19"/>
    </sheetView>
  </sheetViews>
  <sheetFormatPr defaultColWidth="14.453125" defaultRowHeight="14.25" zeroHeight="false" outlineLevelRow="0" outlineLevelCol="0"/>
  <cols>
    <col collapsed="false" customWidth="true" hidden="false" outlineLevel="0" max="1" min="1" style="0" width="15.54"/>
    <col collapsed="false" customWidth="true" hidden="false" outlineLevel="0" max="2" min="2" style="0" width="10.73"/>
    <col collapsed="false" customWidth="true" hidden="false" outlineLevel="0" max="3" min="3" style="0" width="34.27"/>
    <col collapsed="false" customWidth="true" hidden="false" outlineLevel="0" max="4" min="4" style="0" width="13.82"/>
    <col collapsed="false" customWidth="true" hidden="false" outlineLevel="0" max="7" min="5" style="0" width="11.45"/>
    <col collapsed="false" customWidth="true" hidden="false" outlineLevel="0" max="8" min="8" style="0" width="16.73"/>
    <col collapsed="false" customWidth="true" hidden="false" outlineLevel="0" max="16" min="9" style="0" width="11.45"/>
    <col collapsed="false" customWidth="true" hidden="false" outlineLevel="0" max="17" min="17" style="0" width="19"/>
    <col collapsed="false" customWidth="true" hidden="false" outlineLevel="0" max="19" min="18" style="0" width="11.45"/>
    <col collapsed="false" customWidth="true" hidden="false" outlineLevel="0" max="20" min="20" style="0" width="17.18"/>
    <col collapsed="false" customWidth="true" hidden="false" outlineLevel="0" max="24" min="21" style="0" width="11.45"/>
    <col collapsed="false" customWidth="true" hidden="false" outlineLevel="0" max="25" min="25" style="0" width="14.18"/>
    <col collapsed="false" customWidth="true" hidden="false" outlineLevel="0" max="33" min="26" style="0" width="11.45"/>
    <col collapsed="false" customWidth="true" hidden="false" outlineLevel="0" max="34" min="34" style="0" width="25"/>
    <col collapsed="false" customWidth="true" hidden="false" outlineLevel="0" max="37" min="35" style="0" width="10.73"/>
    <col collapsed="false" customWidth="true" hidden="false" outlineLevel="0" max="44" min="38" style="0" width="11.45"/>
    <col collapsed="false" customWidth="true" hidden="false" outlineLevel="0" max="53" min="45" style="0" width="10.73"/>
    <col collapsed="false" customWidth="true" hidden="false" outlineLevel="0" max="257" min="257" style="0" width="15.54"/>
    <col collapsed="false" customWidth="true" hidden="false" outlineLevel="0" max="258" min="258" style="0" width="10.73"/>
    <col collapsed="false" customWidth="true" hidden="false" outlineLevel="0" max="259" min="259" style="0" width="34.27"/>
    <col collapsed="false" customWidth="true" hidden="false" outlineLevel="0" max="260" min="260" style="0" width="13.82"/>
    <col collapsed="false" customWidth="true" hidden="false" outlineLevel="0" max="263" min="261" style="0" width="11.45"/>
    <col collapsed="false" customWidth="true" hidden="false" outlineLevel="0" max="264" min="264" style="0" width="16.73"/>
    <col collapsed="false" customWidth="true" hidden="false" outlineLevel="0" max="272" min="265" style="0" width="11.45"/>
    <col collapsed="false" customWidth="true" hidden="false" outlineLevel="0" max="273" min="273" style="0" width="19"/>
    <col collapsed="false" customWidth="true" hidden="false" outlineLevel="0" max="275" min="274" style="0" width="11.45"/>
    <col collapsed="false" customWidth="true" hidden="false" outlineLevel="0" max="276" min="276" style="0" width="17.18"/>
    <col collapsed="false" customWidth="true" hidden="false" outlineLevel="0" max="280" min="277" style="0" width="11.45"/>
    <col collapsed="false" customWidth="true" hidden="false" outlineLevel="0" max="281" min="281" style="0" width="14.18"/>
    <col collapsed="false" customWidth="true" hidden="false" outlineLevel="0" max="289" min="282" style="0" width="11.45"/>
    <col collapsed="false" customWidth="true" hidden="false" outlineLevel="0" max="290" min="290" style="0" width="25"/>
    <col collapsed="false" customWidth="true" hidden="false" outlineLevel="0" max="293" min="291" style="0" width="10.73"/>
    <col collapsed="false" customWidth="true" hidden="false" outlineLevel="0" max="300" min="294" style="0" width="11.45"/>
    <col collapsed="false" customWidth="true" hidden="false" outlineLevel="0" max="309" min="301" style="0" width="10.73"/>
    <col collapsed="false" customWidth="true" hidden="false" outlineLevel="0" max="513" min="513" style="0" width="15.54"/>
    <col collapsed="false" customWidth="true" hidden="false" outlineLevel="0" max="514" min="514" style="0" width="10.73"/>
    <col collapsed="false" customWidth="true" hidden="false" outlineLevel="0" max="515" min="515" style="0" width="34.27"/>
    <col collapsed="false" customWidth="true" hidden="false" outlineLevel="0" max="516" min="516" style="0" width="13.82"/>
    <col collapsed="false" customWidth="true" hidden="false" outlineLevel="0" max="519" min="517" style="0" width="11.45"/>
    <col collapsed="false" customWidth="true" hidden="false" outlineLevel="0" max="520" min="520" style="0" width="16.73"/>
    <col collapsed="false" customWidth="true" hidden="false" outlineLevel="0" max="528" min="521" style="0" width="11.45"/>
    <col collapsed="false" customWidth="true" hidden="false" outlineLevel="0" max="529" min="529" style="0" width="19"/>
    <col collapsed="false" customWidth="true" hidden="false" outlineLevel="0" max="531" min="530" style="0" width="11.45"/>
    <col collapsed="false" customWidth="true" hidden="false" outlineLevel="0" max="532" min="532" style="0" width="17.18"/>
    <col collapsed="false" customWidth="true" hidden="false" outlineLevel="0" max="536" min="533" style="0" width="11.45"/>
    <col collapsed="false" customWidth="true" hidden="false" outlineLevel="0" max="537" min="537" style="0" width="14.18"/>
    <col collapsed="false" customWidth="true" hidden="false" outlineLevel="0" max="545" min="538" style="0" width="11.45"/>
    <col collapsed="false" customWidth="true" hidden="false" outlineLevel="0" max="546" min="546" style="0" width="25"/>
    <col collapsed="false" customWidth="true" hidden="false" outlineLevel="0" max="549" min="547" style="0" width="10.73"/>
    <col collapsed="false" customWidth="true" hidden="false" outlineLevel="0" max="556" min="550" style="0" width="11.45"/>
    <col collapsed="false" customWidth="true" hidden="false" outlineLevel="0" max="565" min="557" style="0" width="10.73"/>
    <col collapsed="false" customWidth="true" hidden="false" outlineLevel="0" max="769" min="769" style="0" width="15.54"/>
    <col collapsed="false" customWidth="true" hidden="false" outlineLevel="0" max="770" min="770" style="0" width="10.73"/>
    <col collapsed="false" customWidth="true" hidden="false" outlineLevel="0" max="771" min="771" style="0" width="34.27"/>
    <col collapsed="false" customWidth="true" hidden="false" outlineLevel="0" max="772" min="772" style="0" width="13.82"/>
    <col collapsed="false" customWidth="true" hidden="false" outlineLevel="0" max="775" min="773" style="0" width="11.45"/>
    <col collapsed="false" customWidth="true" hidden="false" outlineLevel="0" max="776" min="776" style="0" width="16.73"/>
    <col collapsed="false" customWidth="true" hidden="false" outlineLevel="0" max="784" min="777" style="0" width="11.45"/>
    <col collapsed="false" customWidth="true" hidden="false" outlineLevel="0" max="785" min="785" style="0" width="19"/>
    <col collapsed="false" customWidth="true" hidden="false" outlineLevel="0" max="787" min="786" style="0" width="11.45"/>
    <col collapsed="false" customWidth="true" hidden="false" outlineLevel="0" max="788" min="788" style="0" width="17.18"/>
    <col collapsed="false" customWidth="true" hidden="false" outlineLevel="0" max="792" min="789" style="0" width="11.45"/>
    <col collapsed="false" customWidth="true" hidden="false" outlineLevel="0" max="793" min="793" style="0" width="14.18"/>
    <col collapsed="false" customWidth="true" hidden="false" outlineLevel="0" max="801" min="794" style="0" width="11.45"/>
    <col collapsed="false" customWidth="true" hidden="false" outlineLevel="0" max="802" min="802" style="0" width="25"/>
    <col collapsed="false" customWidth="true" hidden="false" outlineLevel="0" max="805" min="803" style="0" width="10.73"/>
    <col collapsed="false" customWidth="true" hidden="false" outlineLevel="0" max="812" min="806" style="0" width="11.45"/>
    <col collapsed="false" customWidth="true" hidden="false" outlineLevel="0" max="821" min="813" style="0" width="10.73"/>
    <col collapsed="false" customWidth="true" hidden="false" outlineLevel="0" max="1025" min="1025" style="0" width="15.54"/>
    <col collapsed="false" customWidth="true" hidden="false" outlineLevel="0" max="1026" min="1026" style="0" width="10.73"/>
    <col collapsed="false" customWidth="true" hidden="false" outlineLevel="0" max="1027" min="1027" style="0" width="34.27"/>
    <col collapsed="false" customWidth="true" hidden="false" outlineLevel="0" max="1028" min="1028" style="0" width="13.82"/>
    <col collapsed="false" customWidth="true" hidden="false" outlineLevel="0" max="1031" min="1029" style="0" width="11.45"/>
    <col collapsed="false" customWidth="true" hidden="false" outlineLevel="0" max="1032" min="1032" style="0" width="16.73"/>
    <col collapsed="false" customWidth="true" hidden="false" outlineLevel="0" max="1040" min="1033" style="0" width="11.45"/>
    <col collapsed="false" customWidth="true" hidden="false" outlineLevel="0" max="1041" min="1041" style="0" width="19"/>
    <col collapsed="false" customWidth="true" hidden="false" outlineLevel="0" max="1043" min="1042" style="0" width="11.45"/>
    <col collapsed="false" customWidth="true" hidden="false" outlineLevel="0" max="1044" min="1044" style="0" width="17.18"/>
    <col collapsed="false" customWidth="true" hidden="false" outlineLevel="0" max="1048" min="1045" style="0" width="11.45"/>
    <col collapsed="false" customWidth="true" hidden="false" outlineLevel="0" max="1049" min="1049" style="0" width="14.18"/>
    <col collapsed="false" customWidth="true" hidden="false" outlineLevel="0" max="1057" min="1050" style="0" width="11.45"/>
    <col collapsed="false" customWidth="true" hidden="false" outlineLevel="0" max="1058" min="1058" style="0" width="25"/>
    <col collapsed="false" customWidth="true" hidden="false" outlineLevel="0" max="1061" min="1059" style="0" width="10.73"/>
    <col collapsed="false" customWidth="true" hidden="false" outlineLevel="0" max="1068" min="1062" style="0" width="11.45"/>
    <col collapsed="false" customWidth="true" hidden="false" outlineLevel="0" max="1077" min="1069" style="0" width="10.73"/>
    <col collapsed="false" customWidth="true" hidden="false" outlineLevel="0" max="1281" min="1281" style="0" width="15.54"/>
    <col collapsed="false" customWidth="true" hidden="false" outlineLevel="0" max="1282" min="1282" style="0" width="10.73"/>
    <col collapsed="false" customWidth="true" hidden="false" outlineLevel="0" max="1283" min="1283" style="0" width="34.27"/>
    <col collapsed="false" customWidth="true" hidden="false" outlineLevel="0" max="1284" min="1284" style="0" width="13.82"/>
    <col collapsed="false" customWidth="true" hidden="false" outlineLevel="0" max="1287" min="1285" style="0" width="11.45"/>
    <col collapsed="false" customWidth="true" hidden="false" outlineLevel="0" max="1288" min="1288" style="0" width="16.73"/>
    <col collapsed="false" customWidth="true" hidden="false" outlineLevel="0" max="1296" min="1289" style="0" width="11.45"/>
    <col collapsed="false" customWidth="true" hidden="false" outlineLevel="0" max="1297" min="1297" style="0" width="19"/>
    <col collapsed="false" customWidth="true" hidden="false" outlineLevel="0" max="1299" min="1298" style="0" width="11.45"/>
    <col collapsed="false" customWidth="true" hidden="false" outlineLevel="0" max="1300" min="1300" style="0" width="17.18"/>
    <col collapsed="false" customWidth="true" hidden="false" outlineLevel="0" max="1304" min="1301" style="0" width="11.45"/>
    <col collapsed="false" customWidth="true" hidden="false" outlineLevel="0" max="1305" min="1305" style="0" width="14.18"/>
    <col collapsed="false" customWidth="true" hidden="false" outlineLevel="0" max="1313" min="1306" style="0" width="11.45"/>
    <col collapsed="false" customWidth="true" hidden="false" outlineLevel="0" max="1314" min="1314" style="0" width="25"/>
    <col collapsed="false" customWidth="true" hidden="false" outlineLevel="0" max="1317" min="1315" style="0" width="10.73"/>
    <col collapsed="false" customWidth="true" hidden="false" outlineLevel="0" max="1324" min="1318" style="0" width="11.45"/>
    <col collapsed="false" customWidth="true" hidden="false" outlineLevel="0" max="1333" min="1325" style="0" width="10.73"/>
    <col collapsed="false" customWidth="true" hidden="false" outlineLevel="0" max="1537" min="1537" style="0" width="15.54"/>
    <col collapsed="false" customWidth="true" hidden="false" outlineLevel="0" max="1538" min="1538" style="0" width="10.73"/>
    <col collapsed="false" customWidth="true" hidden="false" outlineLevel="0" max="1539" min="1539" style="0" width="34.27"/>
    <col collapsed="false" customWidth="true" hidden="false" outlineLevel="0" max="1540" min="1540" style="0" width="13.82"/>
    <col collapsed="false" customWidth="true" hidden="false" outlineLevel="0" max="1543" min="1541" style="0" width="11.45"/>
    <col collapsed="false" customWidth="true" hidden="false" outlineLevel="0" max="1544" min="1544" style="0" width="16.73"/>
    <col collapsed="false" customWidth="true" hidden="false" outlineLevel="0" max="1552" min="1545" style="0" width="11.45"/>
    <col collapsed="false" customWidth="true" hidden="false" outlineLevel="0" max="1553" min="1553" style="0" width="19"/>
    <col collapsed="false" customWidth="true" hidden="false" outlineLevel="0" max="1555" min="1554" style="0" width="11.45"/>
    <col collapsed="false" customWidth="true" hidden="false" outlineLevel="0" max="1556" min="1556" style="0" width="17.18"/>
    <col collapsed="false" customWidth="true" hidden="false" outlineLevel="0" max="1560" min="1557" style="0" width="11.45"/>
    <col collapsed="false" customWidth="true" hidden="false" outlineLevel="0" max="1561" min="1561" style="0" width="14.18"/>
    <col collapsed="false" customWidth="true" hidden="false" outlineLevel="0" max="1569" min="1562" style="0" width="11.45"/>
    <col collapsed="false" customWidth="true" hidden="false" outlineLevel="0" max="1570" min="1570" style="0" width="25"/>
    <col collapsed="false" customWidth="true" hidden="false" outlineLevel="0" max="1573" min="1571" style="0" width="10.73"/>
    <col collapsed="false" customWidth="true" hidden="false" outlineLevel="0" max="1580" min="1574" style="0" width="11.45"/>
    <col collapsed="false" customWidth="true" hidden="false" outlineLevel="0" max="1589" min="1581" style="0" width="10.73"/>
    <col collapsed="false" customWidth="true" hidden="false" outlineLevel="0" max="1793" min="1793" style="0" width="15.54"/>
    <col collapsed="false" customWidth="true" hidden="false" outlineLevel="0" max="1794" min="1794" style="0" width="10.73"/>
    <col collapsed="false" customWidth="true" hidden="false" outlineLevel="0" max="1795" min="1795" style="0" width="34.27"/>
    <col collapsed="false" customWidth="true" hidden="false" outlineLevel="0" max="1796" min="1796" style="0" width="13.82"/>
    <col collapsed="false" customWidth="true" hidden="false" outlineLevel="0" max="1799" min="1797" style="0" width="11.45"/>
    <col collapsed="false" customWidth="true" hidden="false" outlineLevel="0" max="1800" min="1800" style="0" width="16.73"/>
    <col collapsed="false" customWidth="true" hidden="false" outlineLevel="0" max="1808" min="1801" style="0" width="11.45"/>
    <col collapsed="false" customWidth="true" hidden="false" outlineLevel="0" max="1809" min="1809" style="0" width="19"/>
    <col collapsed="false" customWidth="true" hidden="false" outlineLevel="0" max="1811" min="1810" style="0" width="11.45"/>
    <col collapsed="false" customWidth="true" hidden="false" outlineLevel="0" max="1812" min="1812" style="0" width="17.18"/>
    <col collapsed="false" customWidth="true" hidden="false" outlineLevel="0" max="1816" min="1813" style="0" width="11.45"/>
    <col collapsed="false" customWidth="true" hidden="false" outlineLevel="0" max="1817" min="1817" style="0" width="14.18"/>
    <col collapsed="false" customWidth="true" hidden="false" outlineLevel="0" max="1825" min="1818" style="0" width="11.45"/>
    <col collapsed="false" customWidth="true" hidden="false" outlineLevel="0" max="1826" min="1826" style="0" width="25"/>
    <col collapsed="false" customWidth="true" hidden="false" outlineLevel="0" max="1829" min="1827" style="0" width="10.73"/>
    <col collapsed="false" customWidth="true" hidden="false" outlineLevel="0" max="1836" min="1830" style="0" width="11.45"/>
    <col collapsed="false" customWidth="true" hidden="false" outlineLevel="0" max="1845" min="1837" style="0" width="10.73"/>
    <col collapsed="false" customWidth="true" hidden="false" outlineLevel="0" max="2049" min="2049" style="0" width="15.54"/>
    <col collapsed="false" customWidth="true" hidden="false" outlineLevel="0" max="2050" min="2050" style="0" width="10.73"/>
    <col collapsed="false" customWidth="true" hidden="false" outlineLevel="0" max="2051" min="2051" style="0" width="34.27"/>
    <col collapsed="false" customWidth="true" hidden="false" outlineLevel="0" max="2052" min="2052" style="0" width="13.82"/>
    <col collapsed="false" customWidth="true" hidden="false" outlineLevel="0" max="2055" min="2053" style="0" width="11.45"/>
    <col collapsed="false" customWidth="true" hidden="false" outlineLevel="0" max="2056" min="2056" style="0" width="16.73"/>
    <col collapsed="false" customWidth="true" hidden="false" outlineLevel="0" max="2064" min="2057" style="0" width="11.45"/>
    <col collapsed="false" customWidth="true" hidden="false" outlineLevel="0" max="2065" min="2065" style="0" width="19"/>
    <col collapsed="false" customWidth="true" hidden="false" outlineLevel="0" max="2067" min="2066" style="0" width="11.45"/>
    <col collapsed="false" customWidth="true" hidden="false" outlineLevel="0" max="2068" min="2068" style="0" width="17.18"/>
    <col collapsed="false" customWidth="true" hidden="false" outlineLevel="0" max="2072" min="2069" style="0" width="11.45"/>
    <col collapsed="false" customWidth="true" hidden="false" outlineLevel="0" max="2073" min="2073" style="0" width="14.18"/>
    <col collapsed="false" customWidth="true" hidden="false" outlineLevel="0" max="2081" min="2074" style="0" width="11.45"/>
    <col collapsed="false" customWidth="true" hidden="false" outlineLevel="0" max="2082" min="2082" style="0" width="25"/>
    <col collapsed="false" customWidth="true" hidden="false" outlineLevel="0" max="2085" min="2083" style="0" width="10.73"/>
    <col collapsed="false" customWidth="true" hidden="false" outlineLevel="0" max="2092" min="2086" style="0" width="11.45"/>
    <col collapsed="false" customWidth="true" hidden="false" outlineLevel="0" max="2101" min="2093" style="0" width="10.73"/>
    <col collapsed="false" customWidth="true" hidden="false" outlineLevel="0" max="2305" min="2305" style="0" width="15.54"/>
    <col collapsed="false" customWidth="true" hidden="false" outlineLevel="0" max="2306" min="2306" style="0" width="10.73"/>
    <col collapsed="false" customWidth="true" hidden="false" outlineLevel="0" max="2307" min="2307" style="0" width="34.27"/>
    <col collapsed="false" customWidth="true" hidden="false" outlineLevel="0" max="2308" min="2308" style="0" width="13.82"/>
    <col collapsed="false" customWidth="true" hidden="false" outlineLevel="0" max="2311" min="2309" style="0" width="11.45"/>
    <col collapsed="false" customWidth="true" hidden="false" outlineLevel="0" max="2312" min="2312" style="0" width="16.73"/>
    <col collapsed="false" customWidth="true" hidden="false" outlineLevel="0" max="2320" min="2313" style="0" width="11.45"/>
    <col collapsed="false" customWidth="true" hidden="false" outlineLevel="0" max="2321" min="2321" style="0" width="19"/>
    <col collapsed="false" customWidth="true" hidden="false" outlineLevel="0" max="2323" min="2322" style="0" width="11.45"/>
    <col collapsed="false" customWidth="true" hidden="false" outlineLevel="0" max="2324" min="2324" style="0" width="17.18"/>
    <col collapsed="false" customWidth="true" hidden="false" outlineLevel="0" max="2328" min="2325" style="0" width="11.45"/>
    <col collapsed="false" customWidth="true" hidden="false" outlineLevel="0" max="2329" min="2329" style="0" width="14.18"/>
    <col collapsed="false" customWidth="true" hidden="false" outlineLevel="0" max="2337" min="2330" style="0" width="11.45"/>
    <col collapsed="false" customWidth="true" hidden="false" outlineLevel="0" max="2338" min="2338" style="0" width="25"/>
    <col collapsed="false" customWidth="true" hidden="false" outlineLevel="0" max="2341" min="2339" style="0" width="10.73"/>
    <col collapsed="false" customWidth="true" hidden="false" outlineLevel="0" max="2348" min="2342" style="0" width="11.45"/>
    <col collapsed="false" customWidth="true" hidden="false" outlineLevel="0" max="2357" min="2349" style="0" width="10.73"/>
    <col collapsed="false" customWidth="true" hidden="false" outlineLevel="0" max="2561" min="2561" style="0" width="15.54"/>
    <col collapsed="false" customWidth="true" hidden="false" outlineLevel="0" max="2562" min="2562" style="0" width="10.73"/>
    <col collapsed="false" customWidth="true" hidden="false" outlineLevel="0" max="2563" min="2563" style="0" width="34.27"/>
    <col collapsed="false" customWidth="true" hidden="false" outlineLevel="0" max="2564" min="2564" style="0" width="13.82"/>
    <col collapsed="false" customWidth="true" hidden="false" outlineLevel="0" max="2567" min="2565" style="0" width="11.45"/>
    <col collapsed="false" customWidth="true" hidden="false" outlineLevel="0" max="2568" min="2568" style="0" width="16.73"/>
    <col collapsed="false" customWidth="true" hidden="false" outlineLevel="0" max="2576" min="2569" style="0" width="11.45"/>
    <col collapsed="false" customWidth="true" hidden="false" outlineLevel="0" max="2577" min="2577" style="0" width="19"/>
    <col collapsed="false" customWidth="true" hidden="false" outlineLevel="0" max="2579" min="2578" style="0" width="11.45"/>
    <col collapsed="false" customWidth="true" hidden="false" outlineLevel="0" max="2580" min="2580" style="0" width="17.18"/>
    <col collapsed="false" customWidth="true" hidden="false" outlineLevel="0" max="2584" min="2581" style="0" width="11.45"/>
    <col collapsed="false" customWidth="true" hidden="false" outlineLevel="0" max="2585" min="2585" style="0" width="14.18"/>
    <col collapsed="false" customWidth="true" hidden="false" outlineLevel="0" max="2593" min="2586" style="0" width="11.45"/>
    <col collapsed="false" customWidth="true" hidden="false" outlineLevel="0" max="2594" min="2594" style="0" width="25"/>
    <col collapsed="false" customWidth="true" hidden="false" outlineLevel="0" max="2597" min="2595" style="0" width="10.73"/>
    <col collapsed="false" customWidth="true" hidden="false" outlineLevel="0" max="2604" min="2598" style="0" width="11.45"/>
    <col collapsed="false" customWidth="true" hidden="false" outlineLevel="0" max="2613" min="2605" style="0" width="10.73"/>
    <col collapsed="false" customWidth="true" hidden="false" outlineLevel="0" max="2817" min="2817" style="0" width="15.54"/>
    <col collapsed="false" customWidth="true" hidden="false" outlineLevel="0" max="2818" min="2818" style="0" width="10.73"/>
    <col collapsed="false" customWidth="true" hidden="false" outlineLevel="0" max="2819" min="2819" style="0" width="34.27"/>
    <col collapsed="false" customWidth="true" hidden="false" outlineLevel="0" max="2820" min="2820" style="0" width="13.82"/>
    <col collapsed="false" customWidth="true" hidden="false" outlineLevel="0" max="2823" min="2821" style="0" width="11.45"/>
    <col collapsed="false" customWidth="true" hidden="false" outlineLevel="0" max="2824" min="2824" style="0" width="16.73"/>
    <col collapsed="false" customWidth="true" hidden="false" outlineLevel="0" max="2832" min="2825" style="0" width="11.45"/>
    <col collapsed="false" customWidth="true" hidden="false" outlineLevel="0" max="2833" min="2833" style="0" width="19"/>
    <col collapsed="false" customWidth="true" hidden="false" outlineLevel="0" max="2835" min="2834" style="0" width="11.45"/>
    <col collapsed="false" customWidth="true" hidden="false" outlineLevel="0" max="2836" min="2836" style="0" width="17.18"/>
    <col collapsed="false" customWidth="true" hidden="false" outlineLevel="0" max="2840" min="2837" style="0" width="11.45"/>
    <col collapsed="false" customWidth="true" hidden="false" outlineLevel="0" max="2841" min="2841" style="0" width="14.18"/>
    <col collapsed="false" customWidth="true" hidden="false" outlineLevel="0" max="2849" min="2842" style="0" width="11.45"/>
    <col collapsed="false" customWidth="true" hidden="false" outlineLevel="0" max="2850" min="2850" style="0" width="25"/>
    <col collapsed="false" customWidth="true" hidden="false" outlineLevel="0" max="2853" min="2851" style="0" width="10.73"/>
    <col collapsed="false" customWidth="true" hidden="false" outlineLevel="0" max="2860" min="2854" style="0" width="11.45"/>
    <col collapsed="false" customWidth="true" hidden="false" outlineLevel="0" max="2869" min="2861" style="0" width="10.73"/>
    <col collapsed="false" customWidth="true" hidden="false" outlineLevel="0" max="3073" min="3073" style="0" width="15.54"/>
    <col collapsed="false" customWidth="true" hidden="false" outlineLevel="0" max="3074" min="3074" style="0" width="10.73"/>
    <col collapsed="false" customWidth="true" hidden="false" outlineLevel="0" max="3075" min="3075" style="0" width="34.27"/>
    <col collapsed="false" customWidth="true" hidden="false" outlineLevel="0" max="3076" min="3076" style="0" width="13.82"/>
    <col collapsed="false" customWidth="true" hidden="false" outlineLevel="0" max="3079" min="3077" style="0" width="11.45"/>
    <col collapsed="false" customWidth="true" hidden="false" outlineLevel="0" max="3080" min="3080" style="0" width="16.73"/>
    <col collapsed="false" customWidth="true" hidden="false" outlineLevel="0" max="3088" min="3081" style="0" width="11.45"/>
    <col collapsed="false" customWidth="true" hidden="false" outlineLevel="0" max="3089" min="3089" style="0" width="19"/>
    <col collapsed="false" customWidth="true" hidden="false" outlineLevel="0" max="3091" min="3090" style="0" width="11.45"/>
    <col collapsed="false" customWidth="true" hidden="false" outlineLevel="0" max="3092" min="3092" style="0" width="17.18"/>
    <col collapsed="false" customWidth="true" hidden="false" outlineLevel="0" max="3096" min="3093" style="0" width="11.45"/>
    <col collapsed="false" customWidth="true" hidden="false" outlineLevel="0" max="3097" min="3097" style="0" width="14.18"/>
    <col collapsed="false" customWidth="true" hidden="false" outlineLevel="0" max="3105" min="3098" style="0" width="11.45"/>
    <col collapsed="false" customWidth="true" hidden="false" outlineLevel="0" max="3106" min="3106" style="0" width="25"/>
    <col collapsed="false" customWidth="true" hidden="false" outlineLevel="0" max="3109" min="3107" style="0" width="10.73"/>
    <col collapsed="false" customWidth="true" hidden="false" outlineLevel="0" max="3116" min="3110" style="0" width="11.45"/>
    <col collapsed="false" customWidth="true" hidden="false" outlineLevel="0" max="3125" min="3117" style="0" width="10.73"/>
    <col collapsed="false" customWidth="true" hidden="false" outlineLevel="0" max="3329" min="3329" style="0" width="15.54"/>
    <col collapsed="false" customWidth="true" hidden="false" outlineLevel="0" max="3330" min="3330" style="0" width="10.73"/>
    <col collapsed="false" customWidth="true" hidden="false" outlineLevel="0" max="3331" min="3331" style="0" width="34.27"/>
    <col collapsed="false" customWidth="true" hidden="false" outlineLevel="0" max="3332" min="3332" style="0" width="13.82"/>
    <col collapsed="false" customWidth="true" hidden="false" outlineLevel="0" max="3335" min="3333" style="0" width="11.45"/>
    <col collapsed="false" customWidth="true" hidden="false" outlineLevel="0" max="3336" min="3336" style="0" width="16.73"/>
    <col collapsed="false" customWidth="true" hidden="false" outlineLevel="0" max="3344" min="3337" style="0" width="11.45"/>
    <col collapsed="false" customWidth="true" hidden="false" outlineLevel="0" max="3345" min="3345" style="0" width="19"/>
    <col collapsed="false" customWidth="true" hidden="false" outlineLevel="0" max="3347" min="3346" style="0" width="11.45"/>
    <col collapsed="false" customWidth="true" hidden="false" outlineLevel="0" max="3348" min="3348" style="0" width="17.18"/>
    <col collapsed="false" customWidth="true" hidden="false" outlineLevel="0" max="3352" min="3349" style="0" width="11.45"/>
    <col collapsed="false" customWidth="true" hidden="false" outlineLevel="0" max="3353" min="3353" style="0" width="14.18"/>
    <col collapsed="false" customWidth="true" hidden="false" outlineLevel="0" max="3361" min="3354" style="0" width="11.45"/>
    <col collapsed="false" customWidth="true" hidden="false" outlineLevel="0" max="3362" min="3362" style="0" width="25"/>
    <col collapsed="false" customWidth="true" hidden="false" outlineLevel="0" max="3365" min="3363" style="0" width="10.73"/>
    <col collapsed="false" customWidth="true" hidden="false" outlineLevel="0" max="3372" min="3366" style="0" width="11.45"/>
    <col collapsed="false" customWidth="true" hidden="false" outlineLevel="0" max="3381" min="3373" style="0" width="10.73"/>
    <col collapsed="false" customWidth="true" hidden="false" outlineLevel="0" max="3585" min="3585" style="0" width="15.54"/>
    <col collapsed="false" customWidth="true" hidden="false" outlineLevel="0" max="3586" min="3586" style="0" width="10.73"/>
    <col collapsed="false" customWidth="true" hidden="false" outlineLevel="0" max="3587" min="3587" style="0" width="34.27"/>
    <col collapsed="false" customWidth="true" hidden="false" outlineLevel="0" max="3588" min="3588" style="0" width="13.82"/>
    <col collapsed="false" customWidth="true" hidden="false" outlineLevel="0" max="3591" min="3589" style="0" width="11.45"/>
    <col collapsed="false" customWidth="true" hidden="false" outlineLevel="0" max="3592" min="3592" style="0" width="16.73"/>
    <col collapsed="false" customWidth="true" hidden="false" outlineLevel="0" max="3600" min="3593" style="0" width="11.45"/>
    <col collapsed="false" customWidth="true" hidden="false" outlineLevel="0" max="3601" min="3601" style="0" width="19"/>
    <col collapsed="false" customWidth="true" hidden="false" outlineLevel="0" max="3603" min="3602" style="0" width="11.45"/>
    <col collapsed="false" customWidth="true" hidden="false" outlineLevel="0" max="3604" min="3604" style="0" width="17.18"/>
    <col collapsed="false" customWidth="true" hidden="false" outlineLevel="0" max="3608" min="3605" style="0" width="11.45"/>
    <col collapsed="false" customWidth="true" hidden="false" outlineLevel="0" max="3609" min="3609" style="0" width="14.18"/>
    <col collapsed="false" customWidth="true" hidden="false" outlineLevel="0" max="3617" min="3610" style="0" width="11.45"/>
    <col collapsed="false" customWidth="true" hidden="false" outlineLevel="0" max="3618" min="3618" style="0" width="25"/>
    <col collapsed="false" customWidth="true" hidden="false" outlineLevel="0" max="3621" min="3619" style="0" width="10.73"/>
    <col collapsed="false" customWidth="true" hidden="false" outlineLevel="0" max="3628" min="3622" style="0" width="11.45"/>
    <col collapsed="false" customWidth="true" hidden="false" outlineLevel="0" max="3637" min="3629" style="0" width="10.73"/>
    <col collapsed="false" customWidth="true" hidden="false" outlineLevel="0" max="3841" min="3841" style="0" width="15.54"/>
    <col collapsed="false" customWidth="true" hidden="false" outlineLevel="0" max="3842" min="3842" style="0" width="10.73"/>
    <col collapsed="false" customWidth="true" hidden="false" outlineLevel="0" max="3843" min="3843" style="0" width="34.27"/>
    <col collapsed="false" customWidth="true" hidden="false" outlineLevel="0" max="3844" min="3844" style="0" width="13.82"/>
    <col collapsed="false" customWidth="true" hidden="false" outlineLevel="0" max="3847" min="3845" style="0" width="11.45"/>
    <col collapsed="false" customWidth="true" hidden="false" outlineLevel="0" max="3848" min="3848" style="0" width="16.73"/>
    <col collapsed="false" customWidth="true" hidden="false" outlineLevel="0" max="3856" min="3849" style="0" width="11.45"/>
    <col collapsed="false" customWidth="true" hidden="false" outlineLevel="0" max="3857" min="3857" style="0" width="19"/>
    <col collapsed="false" customWidth="true" hidden="false" outlineLevel="0" max="3859" min="3858" style="0" width="11.45"/>
    <col collapsed="false" customWidth="true" hidden="false" outlineLevel="0" max="3860" min="3860" style="0" width="17.18"/>
    <col collapsed="false" customWidth="true" hidden="false" outlineLevel="0" max="3864" min="3861" style="0" width="11.45"/>
    <col collapsed="false" customWidth="true" hidden="false" outlineLevel="0" max="3865" min="3865" style="0" width="14.18"/>
    <col collapsed="false" customWidth="true" hidden="false" outlineLevel="0" max="3873" min="3866" style="0" width="11.45"/>
    <col collapsed="false" customWidth="true" hidden="false" outlineLevel="0" max="3874" min="3874" style="0" width="25"/>
    <col collapsed="false" customWidth="true" hidden="false" outlineLevel="0" max="3877" min="3875" style="0" width="10.73"/>
    <col collapsed="false" customWidth="true" hidden="false" outlineLevel="0" max="3884" min="3878" style="0" width="11.45"/>
    <col collapsed="false" customWidth="true" hidden="false" outlineLevel="0" max="3893" min="3885" style="0" width="10.73"/>
    <col collapsed="false" customWidth="true" hidden="false" outlineLevel="0" max="4097" min="4097" style="0" width="15.54"/>
    <col collapsed="false" customWidth="true" hidden="false" outlineLevel="0" max="4098" min="4098" style="0" width="10.73"/>
    <col collapsed="false" customWidth="true" hidden="false" outlineLevel="0" max="4099" min="4099" style="0" width="34.27"/>
    <col collapsed="false" customWidth="true" hidden="false" outlineLevel="0" max="4100" min="4100" style="0" width="13.82"/>
    <col collapsed="false" customWidth="true" hidden="false" outlineLevel="0" max="4103" min="4101" style="0" width="11.45"/>
    <col collapsed="false" customWidth="true" hidden="false" outlineLevel="0" max="4104" min="4104" style="0" width="16.73"/>
    <col collapsed="false" customWidth="true" hidden="false" outlineLevel="0" max="4112" min="4105" style="0" width="11.45"/>
    <col collapsed="false" customWidth="true" hidden="false" outlineLevel="0" max="4113" min="4113" style="0" width="19"/>
    <col collapsed="false" customWidth="true" hidden="false" outlineLevel="0" max="4115" min="4114" style="0" width="11.45"/>
    <col collapsed="false" customWidth="true" hidden="false" outlineLevel="0" max="4116" min="4116" style="0" width="17.18"/>
    <col collapsed="false" customWidth="true" hidden="false" outlineLevel="0" max="4120" min="4117" style="0" width="11.45"/>
    <col collapsed="false" customWidth="true" hidden="false" outlineLevel="0" max="4121" min="4121" style="0" width="14.18"/>
    <col collapsed="false" customWidth="true" hidden="false" outlineLevel="0" max="4129" min="4122" style="0" width="11.45"/>
    <col collapsed="false" customWidth="true" hidden="false" outlineLevel="0" max="4130" min="4130" style="0" width="25"/>
    <col collapsed="false" customWidth="true" hidden="false" outlineLevel="0" max="4133" min="4131" style="0" width="10.73"/>
    <col collapsed="false" customWidth="true" hidden="false" outlineLevel="0" max="4140" min="4134" style="0" width="11.45"/>
    <col collapsed="false" customWidth="true" hidden="false" outlineLevel="0" max="4149" min="4141" style="0" width="10.73"/>
    <col collapsed="false" customWidth="true" hidden="false" outlineLevel="0" max="4353" min="4353" style="0" width="15.54"/>
    <col collapsed="false" customWidth="true" hidden="false" outlineLevel="0" max="4354" min="4354" style="0" width="10.73"/>
    <col collapsed="false" customWidth="true" hidden="false" outlineLevel="0" max="4355" min="4355" style="0" width="34.27"/>
    <col collapsed="false" customWidth="true" hidden="false" outlineLevel="0" max="4356" min="4356" style="0" width="13.82"/>
    <col collapsed="false" customWidth="true" hidden="false" outlineLevel="0" max="4359" min="4357" style="0" width="11.45"/>
    <col collapsed="false" customWidth="true" hidden="false" outlineLevel="0" max="4360" min="4360" style="0" width="16.73"/>
    <col collapsed="false" customWidth="true" hidden="false" outlineLevel="0" max="4368" min="4361" style="0" width="11.45"/>
    <col collapsed="false" customWidth="true" hidden="false" outlineLevel="0" max="4369" min="4369" style="0" width="19"/>
    <col collapsed="false" customWidth="true" hidden="false" outlineLevel="0" max="4371" min="4370" style="0" width="11.45"/>
    <col collapsed="false" customWidth="true" hidden="false" outlineLevel="0" max="4372" min="4372" style="0" width="17.18"/>
    <col collapsed="false" customWidth="true" hidden="false" outlineLevel="0" max="4376" min="4373" style="0" width="11.45"/>
    <col collapsed="false" customWidth="true" hidden="false" outlineLevel="0" max="4377" min="4377" style="0" width="14.18"/>
    <col collapsed="false" customWidth="true" hidden="false" outlineLevel="0" max="4385" min="4378" style="0" width="11.45"/>
    <col collapsed="false" customWidth="true" hidden="false" outlineLevel="0" max="4386" min="4386" style="0" width="25"/>
    <col collapsed="false" customWidth="true" hidden="false" outlineLevel="0" max="4389" min="4387" style="0" width="10.73"/>
    <col collapsed="false" customWidth="true" hidden="false" outlineLevel="0" max="4396" min="4390" style="0" width="11.45"/>
    <col collapsed="false" customWidth="true" hidden="false" outlineLevel="0" max="4405" min="4397" style="0" width="10.73"/>
    <col collapsed="false" customWidth="true" hidden="false" outlineLevel="0" max="4609" min="4609" style="0" width="15.54"/>
    <col collapsed="false" customWidth="true" hidden="false" outlineLevel="0" max="4610" min="4610" style="0" width="10.73"/>
    <col collapsed="false" customWidth="true" hidden="false" outlineLevel="0" max="4611" min="4611" style="0" width="34.27"/>
    <col collapsed="false" customWidth="true" hidden="false" outlineLevel="0" max="4612" min="4612" style="0" width="13.82"/>
    <col collapsed="false" customWidth="true" hidden="false" outlineLevel="0" max="4615" min="4613" style="0" width="11.45"/>
    <col collapsed="false" customWidth="true" hidden="false" outlineLevel="0" max="4616" min="4616" style="0" width="16.73"/>
    <col collapsed="false" customWidth="true" hidden="false" outlineLevel="0" max="4624" min="4617" style="0" width="11.45"/>
    <col collapsed="false" customWidth="true" hidden="false" outlineLevel="0" max="4625" min="4625" style="0" width="19"/>
    <col collapsed="false" customWidth="true" hidden="false" outlineLevel="0" max="4627" min="4626" style="0" width="11.45"/>
    <col collapsed="false" customWidth="true" hidden="false" outlineLevel="0" max="4628" min="4628" style="0" width="17.18"/>
    <col collapsed="false" customWidth="true" hidden="false" outlineLevel="0" max="4632" min="4629" style="0" width="11.45"/>
    <col collapsed="false" customWidth="true" hidden="false" outlineLevel="0" max="4633" min="4633" style="0" width="14.18"/>
    <col collapsed="false" customWidth="true" hidden="false" outlineLevel="0" max="4641" min="4634" style="0" width="11.45"/>
    <col collapsed="false" customWidth="true" hidden="false" outlineLevel="0" max="4642" min="4642" style="0" width="25"/>
    <col collapsed="false" customWidth="true" hidden="false" outlineLevel="0" max="4645" min="4643" style="0" width="10.73"/>
    <col collapsed="false" customWidth="true" hidden="false" outlineLevel="0" max="4652" min="4646" style="0" width="11.45"/>
    <col collapsed="false" customWidth="true" hidden="false" outlineLevel="0" max="4661" min="4653" style="0" width="10.73"/>
    <col collapsed="false" customWidth="true" hidden="false" outlineLevel="0" max="4865" min="4865" style="0" width="15.54"/>
    <col collapsed="false" customWidth="true" hidden="false" outlineLevel="0" max="4866" min="4866" style="0" width="10.73"/>
    <col collapsed="false" customWidth="true" hidden="false" outlineLevel="0" max="4867" min="4867" style="0" width="34.27"/>
    <col collapsed="false" customWidth="true" hidden="false" outlineLevel="0" max="4868" min="4868" style="0" width="13.82"/>
    <col collapsed="false" customWidth="true" hidden="false" outlineLevel="0" max="4871" min="4869" style="0" width="11.45"/>
    <col collapsed="false" customWidth="true" hidden="false" outlineLevel="0" max="4872" min="4872" style="0" width="16.73"/>
    <col collapsed="false" customWidth="true" hidden="false" outlineLevel="0" max="4880" min="4873" style="0" width="11.45"/>
    <col collapsed="false" customWidth="true" hidden="false" outlineLevel="0" max="4881" min="4881" style="0" width="19"/>
    <col collapsed="false" customWidth="true" hidden="false" outlineLevel="0" max="4883" min="4882" style="0" width="11.45"/>
    <col collapsed="false" customWidth="true" hidden="false" outlineLevel="0" max="4884" min="4884" style="0" width="17.18"/>
    <col collapsed="false" customWidth="true" hidden="false" outlineLevel="0" max="4888" min="4885" style="0" width="11.45"/>
    <col collapsed="false" customWidth="true" hidden="false" outlineLevel="0" max="4889" min="4889" style="0" width="14.18"/>
    <col collapsed="false" customWidth="true" hidden="false" outlineLevel="0" max="4897" min="4890" style="0" width="11.45"/>
    <col collapsed="false" customWidth="true" hidden="false" outlineLevel="0" max="4898" min="4898" style="0" width="25"/>
    <col collapsed="false" customWidth="true" hidden="false" outlineLevel="0" max="4901" min="4899" style="0" width="10.73"/>
    <col collapsed="false" customWidth="true" hidden="false" outlineLevel="0" max="4908" min="4902" style="0" width="11.45"/>
    <col collapsed="false" customWidth="true" hidden="false" outlineLevel="0" max="4917" min="4909" style="0" width="10.73"/>
    <col collapsed="false" customWidth="true" hidden="false" outlineLevel="0" max="5121" min="5121" style="0" width="15.54"/>
    <col collapsed="false" customWidth="true" hidden="false" outlineLevel="0" max="5122" min="5122" style="0" width="10.73"/>
    <col collapsed="false" customWidth="true" hidden="false" outlineLevel="0" max="5123" min="5123" style="0" width="34.27"/>
    <col collapsed="false" customWidth="true" hidden="false" outlineLevel="0" max="5124" min="5124" style="0" width="13.82"/>
    <col collapsed="false" customWidth="true" hidden="false" outlineLevel="0" max="5127" min="5125" style="0" width="11.45"/>
    <col collapsed="false" customWidth="true" hidden="false" outlineLevel="0" max="5128" min="5128" style="0" width="16.73"/>
    <col collapsed="false" customWidth="true" hidden="false" outlineLevel="0" max="5136" min="5129" style="0" width="11.45"/>
    <col collapsed="false" customWidth="true" hidden="false" outlineLevel="0" max="5137" min="5137" style="0" width="19"/>
    <col collapsed="false" customWidth="true" hidden="false" outlineLevel="0" max="5139" min="5138" style="0" width="11.45"/>
    <col collapsed="false" customWidth="true" hidden="false" outlineLevel="0" max="5140" min="5140" style="0" width="17.18"/>
    <col collapsed="false" customWidth="true" hidden="false" outlineLevel="0" max="5144" min="5141" style="0" width="11.45"/>
    <col collapsed="false" customWidth="true" hidden="false" outlineLevel="0" max="5145" min="5145" style="0" width="14.18"/>
    <col collapsed="false" customWidth="true" hidden="false" outlineLevel="0" max="5153" min="5146" style="0" width="11.45"/>
    <col collapsed="false" customWidth="true" hidden="false" outlineLevel="0" max="5154" min="5154" style="0" width="25"/>
    <col collapsed="false" customWidth="true" hidden="false" outlineLevel="0" max="5157" min="5155" style="0" width="10.73"/>
    <col collapsed="false" customWidth="true" hidden="false" outlineLevel="0" max="5164" min="5158" style="0" width="11.45"/>
    <col collapsed="false" customWidth="true" hidden="false" outlineLevel="0" max="5173" min="5165" style="0" width="10.73"/>
    <col collapsed="false" customWidth="true" hidden="false" outlineLevel="0" max="5377" min="5377" style="0" width="15.54"/>
    <col collapsed="false" customWidth="true" hidden="false" outlineLevel="0" max="5378" min="5378" style="0" width="10.73"/>
    <col collapsed="false" customWidth="true" hidden="false" outlineLevel="0" max="5379" min="5379" style="0" width="34.27"/>
    <col collapsed="false" customWidth="true" hidden="false" outlineLevel="0" max="5380" min="5380" style="0" width="13.82"/>
    <col collapsed="false" customWidth="true" hidden="false" outlineLevel="0" max="5383" min="5381" style="0" width="11.45"/>
    <col collapsed="false" customWidth="true" hidden="false" outlineLevel="0" max="5384" min="5384" style="0" width="16.73"/>
    <col collapsed="false" customWidth="true" hidden="false" outlineLevel="0" max="5392" min="5385" style="0" width="11.45"/>
    <col collapsed="false" customWidth="true" hidden="false" outlineLevel="0" max="5393" min="5393" style="0" width="19"/>
    <col collapsed="false" customWidth="true" hidden="false" outlineLevel="0" max="5395" min="5394" style="0" width="11.45"/>
    <col collapsed="false" customWidth="true" hidden="false" outlineLevel="0" max="5396" min="5396" style="0" width="17.18"/>
    <col collapsed="false" customWidth="true" hidden="false" outlineLevel="0" max="5400" min="5397" style="0" width="11.45"/>
    <col collapsed="false" customWidth="true" hidden="false" outlineLevel="0" max="5401" min="5401" style="0" width="14.18"/>
    <col collapsed="false" customWidth="true" hidden="false" outlineLevel="0" max="5409" min="5402" style="0" width="11.45"/>
    <col collapsed="false" customWidth="true" hidden="false" outlineLevel="0" max="5410" min="5410" style="0" width="25"/>
    <col collapsed="false" customWidth="true" hidden="false" outlineLevel="0" max="5413" min="5411" style="0" width="10.73"/>
    <col collapsed="false" customWidth="true" hidden="false" outlineLevel="0" max="5420" min="5414" style="0" width="11.45"/>
    <col collapsed="false" customWidth="true" hidden="false" outlineLevel="0" max="5429" min="5421" style="0" width="10.73"/>
    <col collapsed="false" customWidth="true" hidden="false" outlineLevel="0" max="5633" min="5633" style="0" width="15.54"/>
    <col collapsed="false" customWidth="true" hidden="false" outlineLevel="0" max="5634" min="5634" style="0" width="10.73"/>
    <col collapsed="false" customWidth="true" hidden="false" outlineLevel="0" max="5635" min="5635" style="0" width="34.27"/>
    <col collapsed="false" customWidth="true" hidden="false" outlineLevel="0" max="5636" min="5636" style="0" width="13.82"/>
    <col collapsed="false" customWidth="true" hidden="false" outlineLevel="0" max="5639" min="5637" style="0" width="11.45"/>
    <col collapsed="false" customWidth="true" hidden="false" outlineLevel="0" max="5640" min="5640" style="0" width="16.73"/>
    <col collapsed="false" customWidth="true" hidden="false" outlineLevel="0" max="5648" min="5641" style="0" width="11.45"/>
    <col collapsed="false" customWidth="true" hidden="false" outlineLevel="0" max="5649" min="5649" style="0" width="19"/>
    <col collapsed="false" customWidth="true" hidden="false" outlineLevel="0" max="5651" min="5650" style="0" width="11.45"/>
    <col collapsed="false" customWidth="true" hidden="false" outlineLevel="0" max="5652" min="5652" style="0" width="17.18"/>
    <col collapsed="false" customWidth="true" hidden="false" outlineLevel="0" max="5656" min="5653" style="0" width="11.45"/>
    <col collapsed="false" customWidth="true" hidden="false" outlineLevel="0" max="5657" min="5657" style="0" width="14.18"/>
    <col collapsed="false" customWidth="true" hidden="false" outlineLevel="0" max="5665" min="5658" style="0" width="11.45"/>
    <col collapsed="false" customWidth="true" hidden="false" outlineLevel="0" max="5666" min="5666" style="0" width="25"/>
    <col collapsed="false" customWidth="true" hidden="false" outlineLevel="0" max="5669" min="5667" style="0" width="10.73"/>
    <col collapsed="false" customWidth="true" hidden="false" outlineLevel="0" max="5676" min="5670" style="0" width="11.45"/>
    <col collapsed="false" customWidth="true" hidden="false" outlineLevel="0" max="5685" min="5677" style="0" width="10.73"/>
    <col collapsed="false" customWidth="true" hidden="false" outlineLevel="0" max="5889" min="5889" style="0" width="15.54"/>
    <col collapsed="false" customWidth="true" hidden="false" outlineLevel="0" max="5890" min="5890" style="0" width="10.73"/>
    <col collapsed="false" customWidth="true" hidden="false" outlineLevel="0" max="5891" min="5891" style="0" width="34.27"/>
    <col collapsed="false" customWidth="true" hidden="false" outlineLevel="0" max="5892" min="5892" style="0" width="13.82"/>
    <col collapsed="false" customWidth="true" hidden="false" outlineLevel="0" max="5895" min="5893" style="0" width="11.45"/>
    <col collapsed="false" customWidth="true" hidden="false" outlineLevel="0" max="5896" min="5896" style="0" width="16.73"/>
    <col collapsed="false" customWidth="true" hidden="false" outlineLevel="0" max="5904" min="5897" style="0" width="11.45"/>
    <col collapsed="false" customWidth="true" hidden="false" outlineLevel="0" max="5905" min="5905" style="0" width="19"/>
    <col collapsed="false" customWidth="true" hidden="false" outlineLevel="0" max="5907" min="5906" style="0" width="11.45"/>
    <col collapsed="false" customWidth="true" hidden="false" outlineLevel="0" max="5908" min="5908" style="0" width="17.18"/>
    <col collapsed="false" customWidth="true" hidden="false" outlineLevel="0" max="5912" min="5909" style="0" width="11.45"/>
    <col collapsed="false" customWidth="true" hidden="false" outlineLevel="0" max="5913" min="5913" style="0" width="14.18"/>
    <col collapsed="false" customWidth="true" hidden="false" outlineLevel="0" max="5921" min="5914" style="0" width="11.45"/>
    <col collapsed="false" customWidth="true" hidden="false" outlineLevel="0" max="5922" min="5922" style="0" width="25"/>
    <col collapsed="false" customWidth="true" hidden="false" outlineLevel="0" max="5925" min="5923" style="0" width="10.73"/>
    <col collapsed="false" customWidth="true" hidden="false" outlineLevel="0" max="5932" min="5926" style="0" width="11.45"/>
    <col collapsed="false" customWidth="true" hidden="false" outlineLevel="0" max="5941" min="5933" style="0" width="10.73"/>
    <col collapsed="false" customWidth="true" hidden="false" outlineLevel="0" max="6145" min="6145" style="0" width="15.54"/>
    <col collapsed="false" customWidth="true" hidden="false" outlineLevel="0" max="6146" min="6146" style="0" width="10.73"/>
    <col collapsed="false" customWidth="true" hidden="false" outlineLevel="0" max="6147" min="6147" style="0" width="34.27"/>
    <col collapsed="false" customWidth="true" hidden="false" outlineLevel="0" max="6148" min="6148" style="0" width="13.82"/>
    <col collapsed="false" customWidth="true" hidden="false" outlineLevel="0" max="6151" min="6149" style="0" width="11.45"/>
    <col collapsed="false" customWidth="true" hidden="false" outlineLevel="0" max="6152" min="6152" style="0" width="16.73"/>
    <col collapsed="false" customWidth="true" hidden="false" outlineLevel="0" max="6160" min="6153" style="0" width="11.45"/>
    <col collapsed="false" customWidth="true" hidden="false" outlineLevel="0" max="6161" min="6161" style="0" width="19"/>
    <col collapsed="false" customWidth="true" hidden="false" outlineLevel="0" max="6163" min="6162" style="0" width="11.45"/>
    <col collapsed="false" customWidth="true" hidden="false" outlineLevel="0" max="6164" min="6164" style="0" width="17.18"/>
    <col collapsed="false" customWidth="true" hidden="false" outlineLevel="0" max="6168" min="6165" style="0" width="11.45"/>
    <col collapsed="false" customWidth="true" hidden="false" outlineLevel="0" max="6169" min="6169" style="0" width="14.18"/>
    <col collapsed="false" customWidth="true" hidden="false" outlineLevel="0" max="6177" min="6170" style="0" width="11.45"/>
    <col collapsed="false" customWidth="true" hidden="false" outlineLevel="0" max="6178" min="6178" style="0" width="25"/>
    <col collapsed="false" customWidth="true" hidden="false" outlineLevel="0" max="6181" min="6179" style="0" width="10.73"/>
    <col collapsed="false" customWidth="true" hidden="false" outlineLevel="0" max="6188" min="6182" style="0" width="11.45"/>
    <col collapsed="false" customWidth="true" hidden="false" outlineLevel="0" max="6197" min="6189" style="0" width="10.73"/>
    <col collapsed="false" customWidth="true" hidden="false" outlineLevel="0" max="6401" min="6401" style="0" width="15.54"/>
    <col collapsed="false" customWidth="true" hidden="false" outlineLevel="0" max="6402" min="6402" style="0" width="10.73"/>
    <col collapsed="false" customWidth="true" hidden="false" outlineLevel="0" max="6403" min="6403" style="0" width="34.27"/>
    <col collapsed="false" customWidth="true" hidden="false" outlineLevel="0" max="6404" min="6404" style="0" width="13.82"/>
    <col collapsed="false" customWidth="true" hidden="false" outlineLevel="0" max="6407" min="6405" style="0" width="11.45"/>
    <col collapsed="false" customWidth="true" hidden="false" outlineLevel="0" max="6408" min="6408" style="0" width="16.73"/>
    <col collapsed="false" customWidth="true" hidden="false" outlineLevel="0" max="6416" min="6409" style="0" width="11.45"/>
    <col collapsed="false" customWidth="true" hidden="false" outlineLevel="0" max="6417" min="6417" style="0" width="19"/>
    <col collapsed="false" customWidth="true" hidden="false" outlineLevel="0" max="6419" min="6418" style="0" width="11.45"/>
    <col collapsed="false" customWidth="true" hidden="false" outlineLevel="0" max="6420" min="6420" style="0" width="17.18"/>
    <col collapsed="false" customWidth="true" hidden="false" outlineLevel="0" max="6424" min="6421" style="0" width="11.45"/>
    <col collapsed="false" customWidth="true" hidden="false" outlineLevel="0" max="6425" min="6425" style="0" width="14.18"/>
    <col collapsed="false" customWidth="true" hidden="false" outlineLevel="0" max="6433" min="6426" style="0" width="11.45"/>
    <col collapsed="false" customWidth="true" hidden="false" outlineLevel="0" max="6434" min="6434" style="0" width="25"/>
    <col collapsed="false" customWidth="true" hidden="false" outlineLevel="0" max="6437" min="6435" style="0" width="10.73"/>
    <col collapsed="false" customWidth="true" hidden="false" outlineLevel="0" max="6444" min="6438" style="0" width="11.45"/>
    <col collapsed="false" customWidth="true" hidden="false" outlineLevel="0" max="6453" min="6445" style="0" width="10.73"/>
    <col collapsed="false" customWidth="true" hidden="false" outlineLevel="0" max="6657" min="6657" style="0" width="15.54"/>
    <col collapsed="false" customWidth="true" hidden="false" outlineLevel="0" max="6658" min="6658" style="0" width="10.73"/>
    <col collapsed="false" customWidth="true" hidden="false" outlineLevel="0" max="6659" min="6659" style="0" width="34.27"/>
    <col collapsed="false" customWidth="true" hidden="false" outlineLevel="0" max="6660" min="6660" style="0" width="13.82"/>
    <col collapsed="false" customWidth="true" hidden="false" outlineLevel="0" max="6663" min="6661" style="0" width="11.45"/>
    <col collapsed="false" customWidth="true" hidden="false" outlineLevel="0" max="6664" min="6664" style="0" width="16.73"/>
    <col collapsed="false" customWidth="true" hidden="false" outlineLevel="0" max="6672" min="6665" style="0" width="11.45"/>
    <col collapsed="false" customWidth="true" hidden="false" outlineLevel="0" max="6673" min="6673" style="0" width="19"/>
    <col collapsed="false" customWidth="true" hidden="false" outlineLevel="0" max="6675" min="6674" style="0" width="11.45"/>
    <col collapsed="false" customWidth="true" hidden="false" outlineLevel="0" max="6676" min="6676" style="0" width="17.18"/>
    <col collapsed="false" customWidth="true" hidden="false" outlineLevel="0" max="6680" min="6677" style="0" width="11.45"/>
    <col collapsed="false" customWidth="true" hidden="false" outlineLevel="0" max="6681" min="6681" style="0" width="14.18"/>
    <col collapsed="false" customWidth="true" hidden="false" outlineLevel="0" max="6689" min="6682" style="0" width="11.45"/>
    <col collapsed="false" customWidth="true" hidden="false" outlineLevel="0" max="6690" min="6690" style="0" width="25"/>
    <col collapsed="false" customWidth="true" hidden="false" outlineLevel="0" max="6693" min="6691" style="0" width="10.73"/>
    <col collapsed="false" customWidth="true" hidden="false" outlineLevel="0" max="6700" min="6694" style="0" width="11.45"/>
    <col collapsed="false" customWidth="true" hidden="false" outlineLevel="0" max="6709" min="6701" style="0" width="10.73"/>
    <col collapsed="false" customWidth="true" hidden="false" outlineLevel="0" max="6913" min="6913" style="0" width="15.54"/>
    <col collapsed="false" customWidth="true" hidden="false" outlineLevel="0" max="6914" min="6914" style="0" width="10.73"/>
    <col collapsed="false" customWidth="true" hidden="false" outlineLevel="0" max="6915" min="6915" style="0" width="34.27"/>
    <col collapsed="false" customWidth="true" hidden="false" outlineLevel="0" max="6916" min="6916" style="0" width="13.82"/>
    <col collapsed="false" customWidth="true" hidden="false" outlineLevel="0" max="6919" min="6917" style="0" width="11.45"/>
    <col collapsed="false" customWidth="true" hidden="false" outlineLevel="0" max="6920" min="6920" style="0" width="16.73"/>
    <col collapsed="false" customWidth="true" hidden="false" outlineLevel="0" max="6928" min="6921" style="0" width="11.45"/>
    <col collapsed="false" customWidth="true" hidden="false" outlineLevel="0" max="6929" min="6929" style="0" width="19"/>
    <col collapsed="false" customWidth="true" hidden="false" outlineLevel="0" max="6931" min="6930" style="0" width="11.45"/>
    <col collapsed="false" customWidth="true" hidden="false" outlineLevel="0" max="6932" min="6932" style="0" width="17.18"/>
    <col collapsed="false" customWidth="true" hidden="false" outlineLevel="0" max="6936" min="6933" style="0" width="11.45"/>
    <col collapsed="false" customWidth="true" hidden="false" outlineLevel="0" max="6937" min="6937" style="0" width="14.18"/>
    <col collapsed="false" customWidth="true" hidden="false" outlineLevel="0" max="6945" min="6938" style="0" width="11.45"/>
    <col collapsed="false" customWidth="true" hidden="false" outlineLevel="0" max="6946" min="6946" style="0" width="25"/>
    <col collapsed="false" customWidth="true" hidden="false" outlineLevel="0" max="6949" min="6947" style="0" width="10.73"/>
    <col collapsed="false" customWidth="true" hidden="false" outlineLevel="0" max="6956" min="6950" style="0" width="11.45"/>
    <col collapsed="false" customWidth="true" hidden="false" outlineLevel="0" max="6965" min="6957" style="0" width="10.73"/>
    <col collapsed="false" customWidth="true" hidden="false" outlineLevel="0" max="7169" min="7169" style="0" width="15.54"/>
    <col collapsed="false" customWidth="true" hidden="false" outlineLevel="0" max="7170" min="7170" style="0" width="10.73"/>
    <col collapsed="false" customWidth="true" hidden="false" outlineLevel="0" max="7171" min="7171" style="0" width="34.27"/>
    <col collapsed="false" customWidth="true" hidden="false" outlineLevel="0" max="7172" min="7172" style="0" width="13.82"/>
    <col collapsed="false" customWidth="true" hidden="false" outlineLevel="0" max="7175" min="7173" style="0" width="11.45"/>
    <col collapsed="false" customWidth="true" hidden="false" outlineLevel="0" max="7176" min="7176" style="0" width="16.73"/>
    <col collapsed="false" customWidth="true" hidden="false" outlineLevel="0" max="7184" min="7177" style="0" width="11.45"/>
    <col collapsed="false" customWidth="true" hidden="false" outlineLevel="0" max="7185" min="7185" style="0" width="19"/>
    <col collapsed="false" customWidth="true" hidden="false" outlineLevel="0" max="7187" min="7186" style="0" width="11.45"/>
    <col collapsed="false" customWidth="true" hidden="false" outlineLevel="0" max="7188" min="7188" style="0" width="17.18"/>
    <col collapsed="false" customWidth="true" hidden="false" outlineLevel="0" max="7192" min="7189" style="0" width="11.45"/>
    <col collapsed="false" customWidth="true" hidden="false" outlineLevel="0" max="7193" min="7193" style="0" width="14.18"/>
    <col collapsed="false" customWidth="true" hidden="false" outlineLevel="0" max="7201" min="7194" style="0" width="11.45"/>
    <col collapsed="false" customWidth="true" hidden="false" outlineLevel="0" max="7202" min="7202" style="0" width="25"/>
    <col collapsed="false" customWidth="true" hidden="false" outlineLevel="0" max="7205" min="7203" style="0" width="10.73"/>
    <col collapsed="false" customWidth="true" hidden="false" outlineLevel="0" max="7212" min="7206" style="0" width="11.45"/>
    <col collapsed="false" customWidth="true" hidden="false" outlineLevel="0" max="7221" min="7213" style="0" width="10.73"/>
    <col collapsed="false" customWidth="true" hidden="false" outlineLevel="0" max="7425" min="7425" style="0" width="15.54"/>
    <col collapsed="false" customWidth="true" hidden="false" outlineLevel="0" max="7426" min="7426" style="0" width="10.73"/>
    <col collapsed="false" customWidth="true" hidden="false" outlineLevel="0" max="7427" min="7427" style="0" width="34.27"/>
    <col collapsed="false" customWidth="true" hidden="false" outlineLevel="0" max="7428" min="7428" style="0" width="13.82"/>
    <col collapsed="false" customWidth="true" hidden="false" outlineLevel="0" max="7431" min="7429" style="0" width="11.45"/>
    <col collapsed="false" customWidth="true" hidden="false" outlineLevel="0" max="7432" min="7432" style="0" width="16.73"/>
    <col collapsed="false" customWidth="true" hidden="false" outlineLevel="0" max="7440" min="7433" style="0" width="11.45"/>
    <col collapsed="false" customWidth="true" hidden="false" outlineLevel="0" max="7441" min="7441" style="0" width="19"/>
    <col collapsed="false" customWidth="true" hidden="false" outlineLevel="0" max="7443" min="7442" style="0" width="11.45"/>
    <col collapsed="false" customWidth="true" hidden="false" outlineLevel="0" max="7444" min="7444" style="0" width="17.18"/>
    <col collapsed="false" customWidth="true" hidden="false" outlineLevel="0" max="7448" min="7445" style="0" width="11.45"/>
    <col collapsed="false" customWidth="true" hidden="false" outlineLevel="0" max="7449" min="7449" style="0" width="14.18"/>
    <col collapsed="false" customWidth="true" hidden="false" outlineLevel="0" max="7457" min="7450" style="0" width="11.45"/>
    <col collapsed="false" customWidth="true" hidden="false" outlineLevel="0" max="7458" min="7458" style="0" width="25"/>
    <col collapsed="false" customWidth="true" hidden="false" outlineLevel="0" max="7461" min="7459" style="0" width="10.73"/>
    <col collapsed="false" customWidth="true" hidden="false" outlineLevel="0" max="7468" min="7462" style="0" width="11.45"/>
    <col collapsed="false" customWidth="true" hidden="false" outlineLevel="0" max="7477" min="7469" style="0" width="10.73"/>
    <col collapsed="false" customWidth="true" hidden="false" outlineLevel="0" max="7681" min="7681" style="0" width="15.54"/>
    <col collapsed="false" customWidth="true" hidden="false" outlineLevel="0" max="7682" min="7682" style="0" width="10.73"/>
    <col collapsed="false" customWidth="true" hidden="false" outlineLevel="0" max="7683" min="7683" style="0" width="34.27"/>
    <col collapsed="false" customWidth="true" hidden="false" outlineLevel="0" max="7684" min="7684" style="0" width="13.82"/>
    <col collapsed="false" customWidth="true" hidden="false" outlineLevel="0" max="7687" min="7685" style="0" width="11.45"/>
    <col collapsed="false" customWidth="true" hidden="false" outlineLevel="0" max="7688" min="7688" style="0" width="16.73"/>
    <col collapsed="false" customWidth="true" hidden="false" outlineLevel="0" max="7696" min="7689" style="0" width="11.45"/>
    <col collapsed="false" customWidth="true" hidden="false" outlineLevel="0" max="7697" min="7697" style="0" width="19"/>
    <col collapsed="false" customWidth="true" hidden="false" outlineLevel="0" max="7699" min="7698" style="0" width="11.45"/>
    <col collapsed="false" customWidth="true" hidden="false" outlineLevel="0" max="7700" min="7700" style="0" width="17.18"/>
    <col collapsed="false" customWidth="true" hidden="false" outlineLevel="0" max="7704" min="7701" style="0" width="11.45"/>
    <col collapsed="false" customWidth="true" hidden="false" outlineLevel="0" max="7705" min="7705" style="0" width="14.18"/>
    <col collapsed="false" customWidth="true" hidden="false" outlineLevel="0" max="7713" min="7706" style="0" width="11.45"/>
    <col collapsed="false" customWidth="true" hidden="false" outlineLevel="0" max="7714" min="7714" style="0" width="25"/>
    <col collapsed="false" customWidth="true" hidden="false" outlineLevel="0" max="7717" min="7715" style="0" width="10.73"/>
    <col collapsed="false" customWidth="true" hidden="false" outlineLevel="0" max="7724" min="7718" style="0" width="11.45"/>
    <col collapsed="false" customWidth="true" hidden="false" outlineLevel="0" max="7733" min="7725" style="0" width="10.73"/>
    <col collapsed="false" customWidth="true" hidden="false" outlineLevel="0" max="7937" min="7937" style="0" width="15.54"/>
    <col collapsed="false" customWidth="true" hidden="false" outlineLevel="0" max="7938" min="7938" style="0" width="10.73"/>
    <col collapsed="false" customWidth="true" hidden="false" outlineLevel="0" max="7939" min="7939" style="0" width="34.27"/>
    <col collapsed="false" customWidth="true" hidden="false" outlineLevel="0" max="7940" min="7940" style="0" width="13.82"/>
    <col collapsed="false" customWidth="true" hidden="false" outlineLevel="0" max="7943" min="7941" style="0" width="11.45"/>
    <col collapsed="false" customWidth="true" hidden="false" outlineLevel="0" max="7944" min="7944" style="0" width="16.73"/>
    <col collapsed="false" customWidth="true" hidden="false" outlineLevel="0" max="7952" min="7945" style="0" width="11.45"/>
    <col collapsed="false" customWidth="true" hidden="false" outlineLevel="0" max="7953" min="7953" style="0" width="19"/>
    <col collapsed="false" customWidth="true" hidden="false" outlineLevel="0" max="7955" min="7954" style="0" width="11.45"/>
    <col collapsed="false" customWidth="true" hidden="false" outlineLevel="0" max="7956" min="7956" style="0" width="17.18"/>
    <col collapsed="false" customWidth="true" hidden="false" outlineLevel="0" max="7960" min="7957" style="0" width="11.45"/>
    <col collapsed="false" customWidth="true" hidden="false" outlineLevel="0" max="7961" min="7961" style="0" width="14.18"/>
    <col collapsed="false" customWidth="true" hidden="false" outlineLevel="0" max="7969" min="7962" style="0" width="11.45"/>
    <col collapsed="false" customWidth="true" hidden="false" outlineLevel="0" max="7970" min="7970" style="0" width="25"/>
    <col collapsed="false" customWidth="true" hidden="false" outlineLevel="0" max="7973" min="7971" style="0" width="10.73"/>
    <col collapsed="false" customWidth="true" hidden="false" outlineLevel="0" max="7980" min="7974" style="0" width="11.45"/>
    <col collapsed="false" customWidth="true" hidden="false" outlineLevel="0" max="7989" min="7981" style="0" width="10.73"/>
    <col collapsed="false" customWidth="true" hidden="false" outlineLevel="0" max="8193" min="8193" style="0" width="15.54"/>
    <col collapsed="false" customWidth="true" hidden="false" outlineLevel="0" max="8194" min="8194" style="0" width="10.73"/>
    <col collapsed="false" customWidth="true" hidden="false" outlineLevel="0" max="8195" min="8195" style="0" width="34.27"/>
    <col collapsed="false" customWidth="true" hidden="false" outlineLevel="0" max="8196" min="8196" style="0" width="13.82"/>
    <col collapsed="false" customWidth="true" hidden="false" outlineLevel="0" max="8199" min="8197" style="0" width="11.45"/>
    <col collapsed="false" customWidth="true" hidden="false" outlineLevel="0" max="8200" min="8200" style="0" width="16.73"/>
    <col collapsed="false" customWidth="true" hidden="false" outlineLevel="0" max="8208" min="8201" style="0" width="11.45"/>
    <col collapsed="false" customWidth="true" hidden="false" outlineLevel="0" max="8209" min="8209" style="0" width="19"/>
    <col collapsed="false" customWidth="true" hidden="false" outlineLevel="0" max="8211" min="8210" style="0" width="11.45"/>
    <col collapsed="false" customWidth="true" hidden="false" outlineLevel="0" max="8212" min="8212" style="0" width="17.18"/>
    <col collapsed="false" customWidth="true" hidden="false" outlineLevel="0" max="8216" min="8213" style="0" width="11.45"/>
    <col collapsed="false" customWidth="true" hidden="false" outlineLevel="0" max="8217" min="8217" style="0" width="14.18"/>
    <col collapsed="false" customWidth="true" hidden="false" outlineLevel="0" max="8225" min="8218" style="0" width="11.45"/>
    <col collapsed="false" customWidth="true" hidden="false" outlineLevel="0" max="8226" min="8226" style="0" width="25"/>
    <col collapsed="false" customWidth="true" hidden="false" outlineLevel="0" max="8229" min="8227" style="0" width="10.73"/>
    <col collapsed="false" customWidth="true" hidden="false" outlineLevel="0" max="8236" min="8230" style="0" width="11.45"/>
    <col collapsed="false" customWidth="true" hidden="false" outlineLevel="0" max="8245" min="8237" style="0" width="10.73"/>
    <col collapsed="false" customWidth="true" hidden="false" outlineLevel="0" max="8449" min="8449" style="0" width="15.54"/>
    <col collapsed="false" customWidth="true" hidden="false" outlineLevel="0" max="8450" min="8450" style="0" width="10.73"/>
    <col collapsed="false" customWidth="true" hidden="false" outlineLevel="0" max="8451" min="8451" style="0" width="34.27"/>
    <col collapsed="false" customWidth="true" hidden="false" outlineLevel="0" max="8452" min="8452" style="0" width="13.82"/>
    <col collapsed="false" customWidth="true" hidden="false" outlineLevel="0" max="8455" min="8453" style="0" width="11.45"/>
    <col collapsed="false" customWidth="true" hidden="false" outlineLevel="0" max="8456" min="8456" style="0" width="16.73"/>
    <col collapsed="false" customWidth="true" hidden="false" outlineLevel="0" max="8464" min="8457" style="0" width="11.45"/>
    <col collapsed="false" customWidth="true" hidden="false" outlineLevel="0" max="8465" min="8465" style="0" width="19"/>
    <col collapsed="false" customWidth="true" hidden="false" outlineLevel="0" max="8467" min="8466" style="0" width="11.45"/>
    <col collapsed="false" customWidth="true" hidden="false" outlineLevel="0" max="8468" min="8468" style="0" width="17.18"/>
    <col collapsed="false" customWidth="true" hidden="false" outlineLevel="0" max="8472" min="8469" style="0" width="11.45"/>
    <col collapsed="false" customWidth="true" hidden="false" outlineLevel="0" max="8473" min="8473" style="0" width="14.18"/>
    <col collapsed="false" customWidth="true" hidden="false" outlineLevel="0" max="8481" min="8474" style="0" width="11.45"/>
    <col collapsed="false" customWidth="true" hidden="false" outlineLevel="0" max="8482" min="8482" style="0" width="25"/>
    <col collapsed="false" customWidth="true" hidden="false" outlineLevel="0" max="8485" min="8483" style="0" width="10.73"/>
    <col collapsed="false" customWidth="true" hidden="false" outlineLevel="0" max="8492" min="8486" style="0" width="11.45"/>
    <col collapsed="false" customWidth="true" hidden="false" outlineLevel="0" max="8501" min="8493" style="0" width="10.73"/>
    <col collapsed="false" customWidth="true" hidden="false" outlineLevel="0" max="8705" min="8705" style="0" width="15.54"/>
    <col collapsed="false" customWidth="true" hidden="false" outlineLevel="0" max="8706" min="8706" style="0" width="10.73"/>
    <col collapsed="false" customWidth="true" hidden="false" outlineLevel="0" max="8707" min="8707" style="0" width="34.27"/>
    <col collapsed="false" customWidth="true" hidden="false" outlineLevel="0" max="8708" min="8708" style="0" width="13.82"/>
    <col collapsed="false" customWidth="true" hidden="false" outlineLevel="0" max="8711" min="8709" style="0" width="11.45"/>
    <col collapsed="false" customWidth="true" hidden="false" outlineLevel="0" max="8712" min="8712" style="0" width="16.73"/>
    <col collapsed="false" customWidth="true" hidden="false" outlineLevel="0" max="8720" min="8713" style="0" width="11.45"/>
    <col collapsed="false" customWidth="true" hidden="false" outlineLevel="0" max="8721" min="8721" style="0" width="19"/>
    <col collapsed="false" customWidth="true" hidden="false" outlineLevel="0" max="8723" min="8722" style="0" width="11.45"/>
    <col collapsed="false" customWidth="true" hidden="false" outlineLevel="0" max="8724" min="8724" style="0" width="17.18"/>
    <col collapsed="false" customWidth="true" hidden="false" outlineLevel="0" max="8728" min="8725" style="0" width="11.45"/>
    <col collapsed="false" customWidth="true" hidden="false" outlineLevel="0" max="8729" min="8729" style="0" width="14.18"/>
    <col collapsed="false" customWidth="true" hidden="false" outlineLevel="0" max="8737" min="8730" style="0" width="11.45"/>
    <col collapsed="false" customWidth="true" hidden="false" outlineLevel="0" max="8738" min="8738" style="0" width="25"/>
    <col collapsed="false" customWidth="true" hidden="false" outlineLevel="0" max="8741" min="8739" style="0" width="10.73"/>
    <col collapsed="false" customWidth="true" hidden="false" outlineLevel="0" max="8748" min="8742" style="0" width="11.45"/>
    <col collapsed="false" customWidth="true" hidden="false" outlineLevel="0" max="8757" min="8749" style="0" width="10.73"/>
    <col collapsed="false" customWidth="true" hidden="false" outlineLevel="0" max="8961" min="8961" style="0" width="15.54"/>
    <col collapsed="false" customWidth="true" hidden="false" outlineLevel="0" max="8962" min="8962" style="0" width="10.73"/>
    <col collapsed="false" customWidth="true" hidden="false" outlineLevel="0" max="8963" min="8963" style="0" width="34.27"/>
    <col collapsed="false" customWidth="true" hidden="false" outlineLevel="0" max="8964" min="8964" style="0" width="13.82"/>
    <col collapsed="false" customWidth="true" hidden="false" outlineLevel="0" max="8967" min="8965" style="0" width="11.45"/>
    <col collapsed="false" customWidth="true" hidden="false" outlineLevel="0" max="8968" min="8968" style="0" width="16.73"/>
    <col collapsed="false" customWidth="true" hidden="false" outlineLevel="0" max="8976" min="8969" style="0" width="11.45"/>
    <col collapsed="false" customWidth="true" hidden="false" outlineLevel="0" max="8977" min="8977" style="0" width="19"/>
    <col collapsed="false" customWidth="true" hidden="false" outlineLevel="0" max="8979" min="8978" style="0" width="11.45"/>
    <col collapsed="false" customWidth="true" hidden="false" outlineLevel="0" max="8980" min="8980" style="0" width="17.18"/>
    <col collapsed="false" customWidth="true" hidden="false" outlineLevel="0" max="8984" min="8981" style="0" width="11.45"/>
    <col collapsed="false" customWidth="true" hidden="false" outlineLevel="0" max="8985" min="8985" style="0" width="14.18"/>
    <col collapsed="false" customWidth="true" hidden="false" outlineLevel="0" max="8993" min="8986" style="0" width="11.45"/>
    <col collapsed="false" customWidth="true" hidden="false" outlineLevel="0" max="8994" min="8994" style="0" width="25"/>
    <col collapsed="false" customWidth="true" hidden="false" outlineLevel="0" max="8997" min="8995" style="0" width="10.73"/>
    <col collapsed="false" customWidth="true" hidden="false" outlineLevel="0" max="9004" min="8998" style="0" width="11.45"/>
    <col collapsed="false" customWidth="true" hidden="false" outlineLevel="0" max="9013" min="9005" style="0" width="10.73"/>
    <col collapsed="false" customWidth="true" hidden="false" outlineLevel="0" max="9217" min="9217" style="0" width="15.54"/>
    <col collapsed="false" customWidth="true" hidden="false" outlineLevel="0" max="9218" min="9218" style="0" width="10.73"/>
    <col collapsed="false" customWidth="true" hidden="false" outlineLevel="0" max="9219" min="9219" style="0" width="34.27"/>
    <col collapsed="false" customWidth="true" hidden="false" outlineLevel="0" max="9220" min="9220" style="0" width="13.82"/>
    <col collapsed="false" customWidth="true" hidden="false" outlineLevel="0" max="9223" min="9221" style="0" width="11.45"/>
    <col collapsed="false" customWidth="true" hidden="false" outlineLevel="0" max="9224" min="9224" style="0" width="16.73"/>
    <col collapsed="false" customWidth="true" hidden="false" outlineLevel="0" max="9232" min="9225" style="0" width="11.45"/>
    <col collapsed="false" customWidth="true" hidden="false" outlineLevel="0" max="9233" min="9233" style="0" width="19"/>
    <col collapsed="false" customWidth="true" hidden="false" outlineLevel="0" max="9235" min="9234" style="0" width="11.45"/>
    <col collapsed="false" customWidth="true" hidden="false" outlineLevel="0" max="9236" min="9236" style="0" width="17.18"/>
    <col collapsed="false" customWidth="true" hidden="false" outlineLevel="0" max="9240" min="9237" style="0" width="11.45"/>
    <col collapsed="false" customWidth="true" hidden="false" outlineLevel="0" max="9241" min="9241" style="0" width="14.18"/>
    <col collapsed="false" customWidth="true" hidden="false" outlineLevel="0" max="9249" min="9242" style="0" width="11.45"/>
    <col collapsed="false" customWidth="true" hidden="false" outlineLevel="0" max="9250" min="9250" style="0" width="25"/>
    <col collapsed="false" customWidth="true" hidden="false" outlineLevel="0" max="9253" min="9251" style="0" width="10.73"/>
    <col collapsed="false" customWidth="true" hidden="false" outlineLevel="0" max="9260" min="9254" style="0" width="11.45"/>
    <col collapsed="false" customWidth="true" hidden="false" outlineLevel="0" max="9269" min="9261" style="0" width="10.73"/>
    <col collapsed="false" customWidth="true" hidden="false" outlineLevel="0" max="9473" min="9473" style="0" width="15.54"/>
    <col collapsed="false" customWidth="true" hidden="false" outlineLevel="0" max="9474" min="9474" style="0" width="10.73"/>
    <col collapsed="false" customWidth="true" hidden="false" outlineLevel="0" max="9475" min="9475" style="0" width="34.27"/>
    <col collapsed="false" customWidth="true" hidden="false" outlineLevel="0" max="9476" min="9476" style="0" width="13.82"/>
    <col collapsed="false" customWidth="true" hidden="false" outlineLevel="0" max="9479" min="9477" style="0" width="11.45"/>
    <col collapsed="false" customWidth="true" hidden="false" outlineLevel="0" max="9480" min="9480" style="0" width="16.73"/>
    <col collapsed="false" customWidth="true" hidden="false" outlineLevel="0" max="9488" min="9481" style="0" width="11.45"/>
    <col collapsed="false" customWidth="true" hidden="false" outlineLevel="0" max="9489" min="9489" style="0" width="19"/>
    <col collapsed="false" customWidth="true" hidden="false" outlineLevel="0" max="9491" min="9490" style="0" width="11.45"/>
    <col collapsed="false" customWidth="true" hidden="false" outlineLevel="0" max="9492" min="9492" style="0" width="17.18"/>
    <col collapsed="false" customWidth="true" hidden="false" outlineLevel="0" max="9496" min="9493" style="0" width="11.45"/>
    <col collapsed="false" customWidth="true" hidden="false" outlineLevel="0" max="9497" min="9497" style="0" width="14.18"/>
    <col collapsed="false" customWidth="true" hidden="false" outlineLevel="0" max="9505" min="9498" style="0" width="11.45"/>
    <col collapsed="false" customWidth="true" hidden="false" outlineLevel="0" max="9506" min="9506" style="0" width="25"/>
    <col collapsed="false" customWidth="true" hidden="false" outlineLevel="0" max="9509" min="9507" style="0" width="10.73"/>
    <col collapsed="false" customWidth="true" hidden="false" outlineLevel="0" max="9516" min="9510" style="0" width="11.45"/>
    <col collapsed="false" customWidth="true" hidden="false" outlineLevel="0" max="9525" min="9517" style="0" width="10.73"/>
    <col collapsed="false" customWidth="true" hidden="false" outlineLevel="0" max="9729" min="9729" style="0" width="15.54"/>
    <col collapsed="false" customWidth="true" hidden="false" outlineLevel="0" max="9730" min="9730" style="0" width="10.73"/>
    <col collapsed="false" customWidth="true" hidden="false" outlineLevel="0" max="9731" min="9731" style="0" width="34.27"/>
    <col collapsed="false" customWidth="true" hidden="false" outlineLevel="0" max="9732" min="9732" style="0" width="13.82"/>
    <col collapsed="false" customWidth="true" hidden="false" outlineLevel="0" max="9735" min="9733" style="0" width="11.45"/>
    <col collapsed="false" customWidth="true" hidden="false" outlineLevel="0" max="9736" min="9736" style="0" width="16.73"/>
    <col collapsed="false" customWidth="true" hidden="false" outlineLevel="0" max="9744" min="9737" style="0" width="11.45"/>
    <col collapsed="false" customWidth="true" hidden="false" outlineLevel="0" max="9745" min="9745" style="0" width="19"/>
    <col collapsed="false" customWidth="true" hidden="false" outlineLevel="0" max="9747" min="9746" style="0" width="11.45"/>
    <col collapsed="false" customWidth="true" hidden="false" outlineLevel="0" max="9748" min="9748" style="0" width="17.18"/>
    <col collapsed="false" customWidth="true" hidden="false" outlineLevel="0" max="9752" min="9749" style="0" width="11.45"/>
    <col collapsed="false" customWidth="true" hidden="false" outlineLevel="0" max="9753" min="9753" style="0" width="14.18"/>
    <col collapsed="false" customWidth="true" hidden="false" outlineLevel="0" max="9761" min="9754" style="0" width="11.45"/>
    <col collapsed="false" customWidth="true" hidden="false" outlineLevel="0" max="9762" min="9762" style="0" width="25"/>
    <col collapsed="false" customWidth="true" hidden="false" outlineLevel="0" max="9765" min="9763" style="0" width="10.73"/>
    <col collapsed="false" customWidth="true" hidden="false" outlineLevel="0" max="9772" min="9766" style="0" width="11.45"/>
    <col collapsed="false" customWidth="true" hidden="false" outlineLevel="0" max="9781" min="9773" style="0" width="10.73"/>
    <col collapsed="false" customWidth="true" hidden="false" outlineLevel="0" max="9985" min="9985" style="0" width="15.54"/>
    <col collapsed="false" customWidth="true" hidden="false" outlineLevel="0" max="9986" min="9986" style="0" width="10.73"/>
    <col collapsed="false" customWidth="true" hidden="false" outlineLevel="0" max="9987" min="9987" style="0" width="34.27"/>
    <col collapsed="false" customWidth="true" hidden="false" outlineLevel="0" max="9988" min="9988" style="0" width="13.82"/>
    <col collapsed="false" customWidth="true" hidden="false" outlineLevel="0" max="9991" min="9989" style="0" width="11.45"/>
    <col collapsed="false" customWidth="true" hidden="false" outlineLevel="0" max="9992" min="9992" style="0" width="16.73"/>
    <col collapsed="false" customWidth="true" hidden="false" outlineLevel="0" max="10000" min="9993" style="0" width="11.45"/>
    <col collapsed="false" customWidth="true" hidden="false" outlineLevel="0" max="10001" min="10001" style="0" width="19"/>
    <col collapsed="false" customWidth="true" hidden="false" outlineLevel="0" max="10003" min="10002" style="0" width="11.45"/>
    <col collapsed="false" customWidth="true" hidden="false" outlineLevel="0" max="10004" min="10004" style="0" width="17.18"/>
    <col collapsed="false" customWidth="true" hidden="false" outlineLevel="0" max="10008" min="10005" style="0" width="11.45"/>
    <col collapsed="false" customWidth="true" hidden="false" outlineLevel="0" max="10009" min="10009" style="0" width="14.18"/>
    <col collapsed="false" customWidth="true" hidden="false" outlineLevel="0" max="10017" min="10010" style="0" width="11.45"/>
    <col collapsed="false" customWidth="true" hidden="false" outlineLevel="0" max="10018" min="10018" style="0" width="25"/>
    <col collapsed="false" customWidth="true" hidden="false" outlineLevel="0" max="10021" min="10019" style="0" width="10.73"/>
    <col collapsed="false" customWidth="true" hidden="false" outlineLevel="0" max="10028" min="10022" style="0" width="11.45"/>
    <col collapsed="false" customWidth="true" hidden="false" outlineLevel="0" max="10037" min="10029" style="0" width="10.73"/>
    <col collapsed="false" customWidth="true" hidden="false" outlineLevel="0" max="10241" min="10241" style="0" width="15.54"/>
    <col collapsed="false" customWidth="true" hidden="false" outlineLevel="0" max="10242" min="10242" style="0" width="10.73"/>
    <col collapsed="false" customWidth="true" hidden="false" outlineLevel="0" max="10243" min="10243" style="0" width="34.27"/>
    <col collapsed="false" customWidth="true" hidden="false" outlineLevel="0" max="10244" min="10244" style="0" width="13.82"/>
    <col collapsed="false" customWidth="true" hidden="false" outlineLevel="0" max="10247" min="10245" style="0" width="11.45"/>
    <col collapsed="false" customWidth="true" hidden="false" outlineLevel="0" max="10248" min="10248" style="0" width="16.73"/>
    <col collapsed="false" customWidth="true" hidden="false" outlineLevel="0" max="10256" min="10249" style="0" width="11.45"/>
    <col collapsed="false" customWidth="true" hidden="false" outlineLevel="0" max="10257" min="10257" style="0" width="19"/>
    <col collapsed="false" customWidth="true" hidden="false" outlineLevel="0" max="10259" min="10258" style="0" width="11.45"/>
    <col collapsed="false" customWidth="true" hidden="false" outlineLevel="0" max="10260" min="10260" style="0" width="17.18"/>
    <col collapsed="false" customWidth="true" hidden="false" outlineLevel="0" max="10264" min="10261" style="0" width="11.45"/>
    <col collapsed="false" customWidth="true" hidden="false" outlineLevel="0" max="10265" min="10265" style="0" width="14.18"/>
    <col collapsed="false" customWidth="true" hidden="false" outlineLevel="0" max="10273" min="10266" style="0" width="11.45"/>
    <col collapsed="false" customWidth="true" hidden="false" outlineLevel="0" max="10274" min="10274" style="0" width="25"/>
    <col collapsed="false" customWidth="true" hidden="false" outlineLevel="0" max="10277" min="10275" style="0" width="10.73"/>
    <col collapsed="false" customWidth="true" hidden="false" outlineLevel="0" max="10284" min="10278" style="0" width="11.45"/>
    <col collapsed="false" customWidth="true" hidden="false" outlineLevel="0" max="10293" min="10285" style="0" width="10.73"/>
    <col collapsed="false" customWidth="true" hidden="false" outlineLevel="0" max="10497" min="10497" style="0" width="15.54"/>
    <col collapsed="false" customWidth="true" hidden="false" outlineLevel="0" max="10498" min="10498" style="0" width="10.73"/>
    <col collapsed="false" customWidth="true" hidden="false" outlineLevel="0" max="10499" min="10499" style="0" width="34.27"/>
    <col collapsed="false" customWidth="true" hidden="false" outlineLevel="0" max="10500" min="10500" style="0" width="13.82"/>
    <col collapsed="false" customWidth="true" hidden="false" outlineLevel="0" max="10503" min="10501" style="0" width="11.45"/>
    <col collapsed="false" customWidth="true" hidden="false" outlineLevel="0" max="10504" min="10504" style="0" width="16.73"/>
    <col collapsed="false" customWidth="true" hidden="false" outlineLevel="0" max="10512" min="10505" style="0" width="11.45"/>
    <col collapsed="false" customWidth="true" hidden="false" outlineLevel="0" max="10513" min="10513" style="0" width="19"/>
    <col collapsed="false" customWidth="true" hidden="false" outlineLevel="0" max="10515" min="10514" style="0" width="11.45"/>
    <col collapsed="false" customWidth="true" hidden="false" outlineLevel="0" max="10516" min="10516" style="0" width="17.18"/>
    <col collapsed="false" customWidth="true" hidden="false" outlineLevel="0" max="10520" min="10517" style="0" width="11.45"/>
    <col collapsed="false" customWidth="true" hidden="false" outlineLevel="0" max="10521" min="10521" style="0" width="14.18"/>
    <col collapsed="false" customWidth="true" hidden="false" outlineLevel="0" max="10529" min="10522" style="0" width="11.45"/>
    <col collapsed="false" customWidth="true" hidden="false" outlineLevel="0" max="10530" min="10530" style="0" width="25"/>
    <col collapsed="false" customWidth="true" hidden="false" outlineLevel="0" max="10533" min="10531" style="0" width="10.73"/>
    <col collapsed="false" customWidth="true" hidden="false" outlineLevel="0" max="10540" min="10534" style="0" width="11.45"/>
    <col collapsed="false" customWidth="true" hidden="false" outlineLevel="0" max="10549" min="10541" style="0" width="10.73"/>
    <col collapsed="false" customWidth="true" hidden="false" outlineLevel="0" max="10753" min="10753" style="0" width="15.54"/>
    <col collapsed="false" customWidth="true" hidden="false" outlineLevel="0" max="10754" min="10754" style="0" width="10.73"/>
    <col collapsed="false" customWidth="true" hidden="false" outlineLevel="0" max="10755" min="10755" style="0" width="34.27"/>
    <col collapsed="false" customWidth="true" hidden="false" outlineLevel="0" max="10756" min="10756" style="0" width="13.82"/>
    <col collapsed="false" customWidth="true" hidden="false" outlineLevel="0" max="10759" min="10757" style="0" width="11.45"/>
    <col collapsed="false" customWidth="true" hidden="false" outlineLevel="0" max="10760" min="10760" style="0" width="16.73"/>
    <col collapsed="false" customWidth="true" hidden="false" outlineLevel="0" max="10768" min="10761" style="0" width="11.45"/>
    <col collapsed="false" customWidth="true" hidden="false" outlineLevel="0" max="10769" min="10769" style="0" width="19"/>
    <col collapsed="false" customWidth="true" hidden="false" outlineLevel="0" max="10771" min="10770" style="0" width="11.45"/>
    <col collapsed="false" customWidth="true" hidden="false" outlineLevel="0" max="10772" min="10772" style="0" width="17.18"/>
    <col collapsed="false" customWidth="true" hidden="false" outlineLevel="0" max="10776" min="10773" style="0" width="11.45"/>
    <col collapsed="false" customWidth="true" hidden="false" outlineLevel="0" max="10777" min="10777" style="0" width="14.18"/>
    <col collapsed="false" customWidth="true" hidden="false" outlineLevel="0" max="10785" min="10778" style="0" width="11.45"/>
    <col collapsed="false" customWidth="true" hidden="false" outlineLevel="0" max="10786" min="10786" style="0" width="25"/>
    <col collapsed="false" customWidth="true" hidden="false" outlineLevel="0" max="10789" min="10787" style="0" width="10.73"/>
    <col collapsed="false" customWidth="true" hidden="false" outlineLevel="0" max="10796" min="10790" style="0" width="11.45"/>
    <col collapsed="false" customWidth="true" hidden="false" outlineLevel="0" max="10805" min="10797" style="0" width="10.73"/>
    <col collapsed="false" customWidth="true" hidden="false" outlineLevel="0" max="11009" min="11009" style="0" width="15.54"/>
    <col collapsed="false" customWidth="true" hidden="false" outlineLevel="0" max="11010" min="11010" style="0" width="10.73"/>
    <col collapsed="false" customWidth="true" hidden="false" outlineLevel="0" max="11011" min="11011" style="0" width="34.27"/>
    <col collapsed="false" customWidth="true" hidden="false" outlineLevel="0" max="11012" min="11012" style="0" width="13.82"/>
    <col collapsed="false" customWidth="true" hidden="false" outlineLevel="0" max="11015" min="11013" style="0" width="11.45"/>
    <col collapsed="false" customWidth="true" hidden="false" outlineLevel="0" max="11016" min="11016" style="0" width="16.73"/>
    <col collapsed="false" customWidth="true" hidden="false" outlineLevel="0" max="11024" min="11017" style="0" width="11.45"/>
    <col collapsed="false" customWidth="true" hidden="false" outlineLevel="0" max="11025" min="11025" style="0" width="19"/>
    <col collapsed="false" customWidth="true" hidden="false" outlineLevel="0" max="11027" min="11026" style="0" width="11.45"/>
    <col collapsed="false" customWidth="true" hidden="false" outlineLevel="0" max="11028" min="11028" style="0" width="17.18"/>
    <col collapsed="false" customWidth="true" hidden="false" outlineLevel="0" max="11032" min="11029" style="0" width="11.45"/>
    <col collapsed="false" customWidth="true" hidden="false" outlineLevel="0" max="11033" min="11033" style="0" width="14.18"/>
    <col collapsed="false" customWidth="true" hidden="false" outlineLevel="0" max="11041" min="11034" style="0" width="11.45"/>
    <col collapsed="false" customWidth="true" hidden="false" outlineLevel="0" max="11042" min="11042" style="0" width="25"/>
    <col collapsed="false" customWidth="true" hidden="false" outlineLevel="0" max="11045" min="11043" style="0" width="10.73"/>
    <col collapsed="false" customWidth="true" hidden="false" outlineLevel="0" max="11052" min="11046" style="0" width="11.45"/>
    <col collapsed="false" customWidth="true" hidden="false" outlineLevel="0" max="11061" min="11053" style="0" width="10.73"/>
    <col collapsed="false" customWidth="true" hidden="false" outlineLevel="0" max="11265" min="11265" style="0" width="15.54"/>
    <col collapsed="false" customWidth="true" hidden="false" outlineLevel="0" max="11266" min="11266" style="0" width="10.73"/>
    <col collapsed="false" customWidth="true" hidden="false" outlineLevel="0" max="11267" min="11267" style="0" width="34.27"/>
    <col collapsed="false" customWidth="true" hidden="false" outlineLevel="0" max="11268" min="11268" style="0" width="13.82"/>
    <col collapsed="false" customWidth="true" hidden="false" outlineLevel="0" max="11271" min="11269" style="0" width="11.45"/>
    <col collapsed="false" customWidth="true" hidden="false" outlineLevel="0" max="11272" min="11272" style="0" width="16.73"/>
    <col collapsed="false" customWidth="true" hidden="false" outlineLevel="0" max="11280" min="11273" style="0" width="11.45"/>
    <col collapsed="false" customWidth="true" hidden="false" outlineLevel="0" max="11281" min="11281" style="0" width="19"/>
    <col collapsed="false" customWidth="true" hidden="false" outlineLevel="0" max="11283" min="11282" style="0" width="11.45"/>
    <col collapsed="false" customWidth="true" hidden="false" outlineLevel="0" max="11284" min="11284" style="0" width="17.18"/>
    <col collapsed="false" customWidth="true" hidden="false" outlineLevel="0" max="11288" min="11285" style="0" width="11.45"/>
    <col collapsed="false" customWidth="true" hidden="false" outlineLevel="0" max="11289" min="11289" style="0" width="14.18"/>
    <col collapsed="false" customWidth="true" hidden="false" outlineLevel="0" max="11297" min="11290" style="0" width="11.45"/>
    <col collapsed="false" customWidth="true" hidden="false" outlineLevel="0" max="11298" min="11298" style="0" width="25"/>
    <col collapsed="false" customWidth="true" hidden="false" outlineLevel="0" max="11301" min="11299" style="0" width="10.73"/>
    <col collapsed="false" customWidth="true" hidden="false" outlineLevel="0" max="11308" min="11302" style="0" width="11.45"/>
    <col collapsed="false" customWidth="true" hidden="false" outlineLevel="0" max="11317" min="11309" style="0" width="10.73"/>
    <col collapsed="false" customWidth="true" hidden="false" outlineLevel="0" max="11521" min="11521" style="0" width="15.54"/>
    <col collapsed="false" customWidth="true" hidden="false" outlineLevel="0" max="11522" min="11522" style="0" width="10.73"/>
    <col collapsed="false" customWidth="true" hidden="false" outlineLevel="0" max="11523" min="11523" style="0" width="34.27"/>
    <col collapsed="false" customWidth="true" hidden="false" outlineLevel="0" max="11524" min="11524" style="0" width="13.82"/>
    <col collapsed="false" customWidth="true" hidden="false" outlineLevel="0" max="11527" min="11525" style="0" width="11.45"/>
    <col collapsed="false" customWidth="true" hidden="false" outlineLevel="0" max="11528" min="11528" style="0" width="16.73"/>
    <col collapsed="false" customWidth="true" hidden="false" outlineLevel="0" max="11536" min="11529" style="0" width="11.45"/>
    <col collapsed="false" customWidth="true" hidden="false" outlineLevel="0" max="11537" min="11537" style="0" width="19"/>
    <col collapsed="false" customWidth="true" hidden="false" outlineLevel="0" max="11539" min="11538" style="0" width="11.45"/>
    <col collapsed="false" customWidth="true" hidden="false" outlineLevel="0" max="11540" min="11540" style="0" width="17.18"/>
    <col collapsed="false" customWidth="true" hidden="false" outlineLevel="0" max="11544" min="11541" style="0" width="11.45"/>
    <col collapsed="false" customWidth="true" hidden="false" outlineLevel="0" max="11545" min="11545" style="0" width="14.18"/>
    <col collapsed="false" customWidth="true" hidden="false" outlineLevel="0" max="11553" min="11546" style="0" width="11.45"/>
    <col collapsed="false" customWidth="true" hidden="false" outlineLevel="0" max="11554" min="11554" style="0" width="25"/>
    <col collapsed="false" customWidth="true" hidden="false" outlineLevel="0" max="11557" min="11555" style="0" width="10.73"/>
    <col collapsed="false" customWidth="true" hidden="false" outlineLevel="0" max="11564" min="11558" style="0" width="11.45"/>
    <col collapsed="false" customWidth="true" hidden="false" outlineLevel="0" max="11573" min="11565" style="0" width="10.73"/>
    <col collapsed="false" customWidth="true" hidden="false" outlineLevel="0" max="11777" min="11777" style="0" width="15.54"/>
    <col collapsed="false" customWidth="true" hidden="false" outlineLevel="0" max="11778" min="11778" style="0" width="10.73"/>
    <col collapsed="false" customWidth="true" hidden="false" outlineLevel="0" max="11779" min="11779" style="0" width="34.27"/>
    <col collapsed="false" customWidth="true" hidden="false" outlineLevel="0" max="11780" min="11780" style="0" width="13.82"/>
    <col collapsed="false" customWidth="true" hidden="false" outlineLevel="0" max="11783" min="11781" style="0" width="11.45"/>
    <col collapsed="false" customWidth="true" hidden="false" outlineLevel="0" max="11784" min="11784" style="0" width="16.73"/>
    <col collapsed="false" customWidth="true" hidden="false" outlineLevel="0" max="11792" min="11785" style="0" width="11.45"/>
    <col collapsed="false" customWidth="true" hidden="false" outlineLevel="0" max="11793" min="11793" style="0" width="19"/>
    <col collapsed="false" customWidth="true" hidden="false" outlineLevel="0" max="11795" min="11794" style="0" width="11.45"/>
    <col collapsed="false" customWidth="true" hidden="false" outlineLevel="0" max="11796" min="11796" style="0" width="17.18"/>
    <col collapsed="false" customWidth="true" hidden="false" outlineLevel="0" max="11800" min="11797" style="0" width="11.45"/>
    <col collapsed="false" customWidth="true" hidden="false" outlineLevel="0" max="11801" min="11801" style="0" width="14.18"/>
    <col collapsed="false" customWidth="true" hidden="false" outlineLevel="0" max="11809" min="11802" style="0" width="11.45"/>
    <col collapsed="false" customWidth="true" hidden="false" outlineLevel="0" max="11810" min="11810" style="0" width="25"/>
    <col collapsed="false" customWidth="true" hidden="false" outlineLevel="0" max="11813" min="11811" style="0" width="10.73"/>
    <col collapsed="false" customWidth="true" hidden="false" outlineLevel="0" max="11820" min="11814" style="0" width="11.45"/>
    <col collapsed="false" customWidth="true" hidden="false" outlineLevel="0" max="11829" min="11821" style="0" width="10.73"/>
    <col collapsed="false" customWidth="true" hidden="false" outlineLevel="0" max="12033" min="12033" style="0" width="15.54"/>
    <col collapsed="false" customWidth="true" hidden="false" outlineLevel="0" max="12034" min="12034" style="0" width="10.73"/>
    <col collapsed="false" customWidth="true" hidden="false" outlineLevel="0" max="12035" min="12035" style="0" width="34.27"/>
    <col collapsed="false" customWidth="true" hidden="false" outlineLevel="0" max="12036" min="12036" style="0" width="13.82"/>
    <col collapsed="false" customWidth="true" hidden="false" outlineLevel="0" max="12039" min="12037" style="0" width="11.45"/>
    <col collapsed="false" customWidth="true" hidden="false" outlineLevel="0" max="12040" min="12040" style="0" width="16.73"/>
    <col collapsed="false" customWidth="true" hidden="false" outlineLevel="0" max="12048" min="12041" style="0" width="11.45"/>
    <col collapsed="false" customWidth="true" hidden="false" outlineLevel="0" max="12049" min="12049" style="0" width="19"/>
    <col collapsed="false" customWidth="true" hidden="false" outlineLevel="0" max="12051" min="12050" style="0" width="11.45"/>
    <col collapsed="false" customWidth="true" hidden="false" outlineLevel="0" max="12052" min="12052" style="0" width="17.18"/>
    <col collapsed="false" customWidth="true" hidden="false" outlineLevel="0" max="12056" min="12053" style="0" width="11.45"/>
    <col collapsed="false" customWidth="true" hidden="false" outlineLevel="0" max="12057" min="12057" style="0" width="14.18"/>
    <col collapsed="false" customWidth="true" hidden="false" outlineLevel="0" max="12065" min="12058" style="0" width="11.45"/>
    <col collapsed="false" customWidth="true" hidden="false" outlineLevel="0" max="12066" min="12066" style="0" width="25"/>
    <col collapsed="false" customWidth="true" hidden="false" outlineLevel="0" max="12069" min="12067" style="0" width="10.73"/>
    <col collapsed="false" customWidth="true" hidden="false" outlineLevel="0" max="12076" min="12070" style="0" width="11.45"/>
    <col collapsed="false" customWidth="true" hidden="false" outlineLevel="0" max="12085" min="12077" style="0" width="10.73"/>
    <col collapsed="false" customWidth="true" hidden="false" outlineLevel="0" max="12289" min="12289" style="0" width="15.54"/>
    <col collapsed="false" customWidth="true" hidden="false" outlineLevel="0" max="12290" min="12290" style="0" width="10.73"/>
    <col collapsed="false" customWidth="true" hidden="false" outlineLevel="0" max="12291" min="12291" style="0" width="34.27"/>
    <col collapsed="false" customWidth="true" hidden="false" outlineLevel="0" max="12292" min="12292" style="0" width="13.82"/>
    <col collapsed="false" customWidth="true" hidden="false" outlineLevel="0" max="12295" min="12293" style="0" width="11.45"/>
    <col collapsed="false" customWidth="true" hidden="false" outlineLevel="0" max="12296" min="12296" style="0" width="16.73"/>
    <col collapsed="false" customWidth="true" hidden="false" outlineLevel="0" max="12304" min="12297" style="0" width="11.45"/>
    <col collapsed="false" customWidth="true" hidden="false" outlineLevel="0" max="12305" min="12305" style="0" width="19"/>
    <col collapsed="false" customWidth="true" hidden="false" outlineLevel="0" max="12307" min="12306" style="0" width="11.45"/>
    <col collapsed="false" customWidth="true" hidden="false" outlineLevel="0" max="12308" min="12308" style="0" width="17.18"/>
    <col collapsed="false" customWidth="true" hidden="false" outlineLevel="0" max="12312" min="12309" style="0" width="11.45"/>
    <col collapsed="false" customWidth="true" hidden="false" outlineLevel="0" max="12313" min="12313" style="0" width="14.18"/>
    <col collapsed="false" customWidth="true" hidden="false" outlineLevel="0" max="12321" min="12314" style="0" width="11.45"/>
    <col collapsed="false" customWidth="true" hidden="false" outlineLevel="0" max="12322" min="12322" style="0" width="25"/>
    <col collapsed="false" customWidth="true" hidden="false" outlineLevel="0" max="12325" min="12323" style="0" width="10.73"/>
    <col collapsed="false" customWidth="true" hidden="false" outlineLevel="0" max="12332" min="12326" style="0" width="11.45"/>
    <col collapsed="false" customWidth="true" hidden="false" outlineLevel="0" max="12341" min="12333" style="0" width="10.73"/>
    <col collapsed="false" customWidth="true" hidden="false" outlineLevel="0" max="12545" min="12545" style="0" width="15.54"/>
    <col collapsed="false" customWidth="true" hidden="false" outlineLevel="0" max="12546" min="12546" style="0" width="10.73"/>
    <col collapsed="false" customWidth="true" hidden="false" outlineLevel="0" max="12547" min="12547" style="0" width="34.27"/>
    <col collapsed="false" customWidth="true" hidden="false" outlineLevel="0" max="12548" min="12548" style="0" width="13.82"/>
    <col collapsed="false" customWidth="true" hidden="false" outlineLevel="0" max="12551" min="12549" style="0" width="11.45"/>
    <col collapsed="false" customWidth="true" hidden="false" outlineLevel="0" max="12552" min="12552" style="0" width="16.73"/>
    <col collapsed="false" customWidth="true" hidden="false" outlineLevel="0" max="12560" min="12553" style="0" width="11.45"/>
    <col collapsed="false" customWidth="true" hidden="false" outlineLevel="0" max="12561" min="12561" style="0" width="19"/>
    <col collapsed="false" customWidth="true" hidden="false" outlineLevel="0" max="12563" min="12562" style="0" width="11.45"/>
    <col collapsed="false" customWidth="true" hidden="false" outlineLevel="0" max="12564" min="12564" style="0" width="17.18"/>
    <col collapsed="false" customWidth="true" hidden="false" outlineLevel="0" max="12568" min="12565" style="0" width="11.45"/>
    <col collapsed="false" customWidth="true" hidden="false" outlineLevel="0" max="12569" min="12569" style="0" width="14.18"/>
    <col collapsed="false" customWidth="true" hidden="false" outlineLevel="0" max="12577" min="12570" style="0" width="11.45"/>
    <col collapsed="false" customWidth="true" hidden="false" outlineLevel="0" max="12578" min="12578" style="0" width="25"/>
    <col collapsed="false" customWidth="true" hidden="false" outlineLevel="0" max="12581" min="12579" style="0" width="10.73"/>
    <col collapsed="false" customWidth="true" hidden="false" outlineLevel="0" max="12588" min="12582" style="0" width="11.45"/>
    <col collapsed="false" customWidth="true" hidden="false" outlineLevel="0" max="12597" min="12589" style="0" width="10.73"/>
    <col collapsed="false" customWidth="true" hidden="false" outlineLevel="0" max="12801" min="12801" style="0" width="15.54"/>
    <col collapsed="false" customWidth="true" hidden="false" outlineLevel="0" max="12802" min="12802" style="0" width="10.73"/>
    <col collapsed="false" customWidth="true" hidden="false" outlineLevel="0" max="12803" min="12803" style="0" width="34.27"/>
    <col collapsed="false" customWidth="true" hidden="false" outlineLevel="0" max="12804" min="12804" style="0" width="13.82"/>
    <col collapsed="false" customWidth="true" hidden="false" outlineLevel="0" max="12807" min="12805" style="0" width="11.45"/>
    <col collapsed="false" customWidth="true" hidden="false" outlineLevel="0" max="12808" min="12808" style="0" width="16.73"/>
    <col collapsed="false" customWidth="true" hidden="false" outlineLevel="0" max="12816" min="12809" style="0" width="11.45"/>
    <col collapsed="false" customWidth="true" hidden="false" outlineLevel="0" max="12817" min="12817" style="0" width="19"/>
    <col collapsed="false" customWidth="true" hidden="false" outlineLevel="0" max="12819" min="12818" style="0" width="11.45"/>
    <col collapsed="false" customWidth="true" hidden="false" outlineLevel="0" max="12820" min="12820" style="0" width="17.18"/>
    <col collapsed="false" customWidth="true" hidden="false" outlineLevel="0" max="12824" min="12821" style="0" width="11.45"/>
    <col collapsed="false" customWidth="true" hidden="false" outlineLevel="0" max="12825" min="12825" style="0" width="14.18"/>
    <col collapsed="false" customWidth="true" hidden="false" outlineLevel="0" max="12833" min="12826" style="0" width="11.45"/>
    <col collapsed="false" customWidth="true" hidden="false" outlineLevel="0" max="12834" min="12834" style="0" width="25"/>
    <col collapsed="false" customWidth="true" hidden="false" outlineLevel="0" max="12837" min="12835" style="0" width="10.73"/>
    <col collapsed="false" customWidth="true" hidden="false" outlineLevel="0" max="12844" min="12838" style="0" width="11.45"/>
    <col collapsed="false" customWidth="true" hidden="false" outlineLevel="0" max="12853" min="12845" style="0" width="10.73"/>
    <col collapsed="false" customWidth="true" hidden="false" outlineLevel="0" max="13057" min="13057" style="0" width="15.54"/>
    <col collapsed="false" customWidth="true" hidden="false" outlineLevel="0" max="13058" min="13058" style="0" width="10.73"/>
    <col collapsed="false" customWidth="true" hidden="false" outlineLevel="0" max="13059" min="13059" style="0" width="34.27"/>
    <col collapsed="false" customWidth="true" hidden="false" outlineLevel="0" max="13060" min="13060" style="0" width="13.82"/>
    <col collapsed="false" customWidth="true" hidden="false" outlineLevel="0" max="13063" min="13061" style="0" width="11.45"/>
    <col collapsed="false" customWidth="true" hidden="false" outlineLevel="0" max="13064" min="13064" style="0" width="16.73"/>
    <col collapsed="false" customWidth="true" hidden="false" outlineLevel="0" max="13072" min="13065" style="0" width="11.45"/>
    <col collapsed="false" customWidth="true" hidden="false" outlineLevel="0" max="13073" min="13073" style="0" width="19"/>
    <col collapsed="false" customWidth="true" hidden="false" outlineLevel="0" max="13075" min="13074" style="0" width="11.45"/>
    <col collapsed="false" customWidth="true" hidden="false" outlineLevel="0" max="13076" min="13076" style="0" width="17.18"/>
    <col collapsed="false" customWidth="true" hidden="false" outlineLevel="0" max="13080" min="13077" style="0" width="11.45"/>
    <col collapsed="false" customWidth="true" hidden="false" outlineLevel="0" max="13081" min="13081" style="0" width="14.18"/>
    <col collapsed="false" customWidth="true" hidden="false" outlineLevel="0" max="13089" min="13082" style="0" width="11.45"/>
    <col collapsed="false" customWidth="true" hidden="false" outlineLevel="0" max="13090" min="13090" style="0" width="25"/>
    <col collapsed="false" customWidth="true" hidden="false" outlineLevel="0" max="13093" min="13091" style="0" width="10.73"/>
    <col collapsed="false" customWidth="true" hidden="false" outlineLevel="0" max="13100" min="13094" style="0" width="11.45"/>
    <col collapsed="false" customWidth="true" hidden="false" outlineLevel="0" max="13109" min="13101" style="0" width="10.73"/>
    <col collapsed="false" customWidth="true" hidden="false" outlineLevel="0" max="13313" min="13313" style="0" width="15.54"/>
    <col collapsed="false" customWidth="true" hidden="false" outlineLevel="0" max="13314" min="13314" style="0" width="10.73"/>
    <col collapsed="false" customWidth="true" hidden="false" outlineLevel="0" max="13315" min="13315" style="0" width="34.27"/>
    <col collapsed="false" customWidth="true" hidden="false" outlineLevel="0" max="13316" min="13316" style="0" width="13.82"/>
    <col collapsed="false" customWidth="true" hidden="false" outlineLevel="0" max="13319" min="13317" style="0" width="11.45"/>
    <col collapsed="false" customWidth="true" hidden="false" outlineLevel="0" max="13320" min="13320" style="0" width="16.73"/>
    <col collapsed="false" customWidth="true" hidden="false" outlineLevel="0" max="13328" min="13321" style="0" width="11.45"/>
    <col collapsed="false" customWidth="true" hidden="false" outlineLevel="0" max="13329" min="13329" style="0" width="19"/>
    <col collapsed="false" customWidth="true" hidden="false" outlineLevel="0" max="13331" min="13330" style="0" width="11.45"/>
    <col collapsed="false" customWidth="true" hidden="false" outlineLevel="0" max="13332" min="13332" style="0" width="17.18"/>
    <col collapsed="false" customWidth="true" hidden="false" outlineLevel="0" max="13336" min="13333" style="0" width="11.45"/>
    <col collapsed="false" customWidth="true" hidden="false" outlineLevel="0" max="13337" min="13337" style="0" width="14.18"/>
    <col collapsed="false" customWidth="true" hidden="false" outlineLevel="0" max="13345" min="13338" style="0" width="11.45"/>
    <col collapsed="false" customWidth="true" hidden="false" outlineLevel="0" max="13346" min="13346" style="0" width="25"/>
    <col collapsed="false" customWidth="true" hidden="false" outlineLevel="0" max="13349" min="13347" style="0" width="10.73"/>
    <col collapsed="false" customWidth="true" hidden="false" outlineLevel="0" max="13356" min="13350" style="0" width="11.45"/>
    <col collapsed="false" customWidth="true" hidden="false" outlineLevel="0" max="13365" min="13357" style="0" width="10.73"/>
    <col collapsed="false" customWidth="true" hidden="false" outlineLevel="0" max="13569" min="13569" style="0" width="15.54"/>
    <col collapsed="false" customWidth="true" hidden="false" outlineLevel="0" max="13570" min="13570" style="0" width="10.73"/>
    <col collapsed="false" customWidth="true" hidden="false" outlineLevel="0" max="13571" min="13571" style="0" width="34.27"/>
    <col collapsed="false" customWidth="true" hidden="false" outlineLevel="0" max="13572" min="13572" style="0" width="13.82"/>
    <col collapsed="false" customWidth="true" hidden="false" outlineLevel="0" max="13575" min="13573" style="0" width="11.45"/>
    <col collapsed="false" customWidth="true" hidden="false" outlineLevel="0" max="13576" min="13576" style="0" width="16.73"/>
    <col collapsed="false" customWidth="true" hidden="false" outlineLevel="0" max="13584" min="13577" style="0" width="11.45"/>
    <col collapsed="false" customWidth="true" hidden="false" outlineLevel="0" max="13585" min="13585" style="0" width="19"/>
    <col collapsed="false" customWidth="true" hidden="false" outlineLevel="0" max="13587" min="13586" style="0" width="11.45"/>
    <col collapsed="false" customWidth="true" hidden="false" outlineLevel="0" max="13588" min="13588" style="0" width="17.18"/>
    <col collapsed="false" customWidth="true" hidden="false" outlineLevel="0" max="13592" min="13589" style="0" width="11.45"/>
    <col collapsed="false" customWidth="true" hidden="false" outlineLevel="0" max="13593" min="13593" style="0" width="14.18"/>
    <col collapsed="false" customWidth="true" hidden="false" outlineLevel="0" max="13601" min="13594" style="0" width="11.45"/>
    <col collapsed="false" customWidth="true" hidden="false" outlineLevel="0" max="13602" min="13602" style="0" width="25"/>
    <col collapsed="false" customWidth="true" hidden="false" outlineLevel="0" max="13605" min="13603" style="0" width="10.73"/>
    <col collapsed="false" customWidth="true" hidden="false" outlineLevel="0" max="13612" min="13606" style="0" width="11.45"/>
    <col collapsed="false" customWidth="true" hidden="false" outlineLevel="0" max="13621" min="13613" style="0" width="10.73"/>
    <col collapsed="false" customWidth="true" hidden="false" outlineLevel="0" max="13825" min="13825" style="0" width="15.54"/>
    <col collapsed="false" customWidth="true" hidden="false" outlineLevel="0" max="13826" min="13826" style="0" width="10.73"/>
    <col collapsed="false" customWidth="true" hidden="false" outlineLevel="0" max="13827" min="13827" style="0" width="34.27"/>
    <col collapsed="false" customWidth="true" hidden="false" outlineLevel="0" max="13828" min="13828" style="0" width="13.82"/>
    <col collapsed="false" customWidth="true" hidden="false" outlineLevel="0" max="13831" min="13829" style="0" width="11.45"/>
    <col collapsed="false" customWidth="true" hidden="false" outlineLevel="0" max="13832" min="13832" style="0" width="16.73"/>
    <col collapsed="false" customWidth="true" hidden="false" outlineLevel="0" max="13840" min="13833" style="0" width="11.45"/>
    <col collapsed="false" customWidth="true" hidden="false" outlineLevel="0" max="13841" min="13841" style="0" width="19"/>
    <col collapsed="false" customWidth="true" hidden="false" outlineLevel="0" max="13843" min="13842" style="0" width="11.45"/>
    <col collapsed="false" customWidth="true" hidden="false" outlineLevel="0" max="13844" min="13844" style="0" width="17.18"/>
    <col collapsed="false" customWidth="true" hidden="false" outlineLevel="0" max="13848" min="13845" style="0" width="11.45"/>
    <col collapsed="false" customWidth="true" hidden="false" outlineLevel="0" max="13849" min="13849" style="0" width="14.18"/>
    <col collapsed="false" customWidth="true" hidden="false" outlineLevel="0" max="13857" min="13850" style="0" width="11.45"/>
    <col collapsed="false" customWidth="true" hidden="false" outlineLevel="0" max="13858" min="13858" style="0" width="25"/>
    <col collapsed="false" customWidth="true" hidden="false" outlineLevel="0" max="13861" min="13859" style="0" width="10.73"/>
    <col collapsed="false" customWidth="true" hidden="false" outlineLevel="0" max="13868" min="13862" style="0" width="11.45"/>
    <col collapsed="false" customWidth="true" hidden="false" outlineLevel="0" max="13877" min="13869" style="0" width="10.73"/>
    <col collapsed="false" customWidth="true" hidden="false" outlineLevel="0" max="14081" min="14081" style="0" width="15.54"/>
    <col collapsed="false" customWidth="true" hidden="false" outlineLevel="0" max="14082" min="14082" style="0" width="10.73"/>
    <col collapsed="false" customWidth="true" hidden="false" outlineLevel="0" max="14083" min="14083" style="0" width="34.27"/>
    <col collapsed="false" customWidth="true" hidden="false" outlineLevel="0" max="14084" min="14084" style="0" width="13.82"/>
    <col collapsed="false" customWidth="true" hidden="false" outlineLevel="0" max="14087" min="14085" style="0" width="11.45"/>
    <col collapsed="false" customWidth="true" hidden="false" outlineLevel="0" max="14088" min="14088" style="0" width="16.73"/>
    <col collapsed="false" customWidth="true" hidden="false" outlineLevel="0" max="14096" min="14089" style="0" width="11.45"/>
    <col collapsed="false" customWidth="true" hidden="false" outlineLevel="0" max="14097" min="14097" style="0" width="19"/>
    <col collapsed="false" customWidth="true" hidden="false" outlineLevel="0" max="14099" min="14098" style="0" width="11.45"/>
    <col collapsed="false" customWidth="true" hidden="false" outlineLevel="0" max="14100" min="14100" style="0" width="17.18"/>
    <col collapsed="false" customWidth="true" hidden="false" outlineLevel="0" max="14104" min="14101" style="0" width="11.45"/>
    <col collapsed="false" customWidth="true" hidden="false" outlineLevel="0" max="14105" min="14105" style="0" width="14.18"/>
    <col collapsed="false" customWidth="true" hidden="false" outlineLevel="0" max="14113" min="14106" style="0" width="11.45"/>
    <col collapsed="false" customWidth="true" hidden="false" outlineLevel="0" max="14114" min="14114" style="0" width="25"/>
    <col collapsed="false" customWidth="true" hidden="false" outlineLevel="0" max="14117" min="14115" style="0" width="10.73"/>
    <col collapsed="false" customWidth="true" hidden="false" outlineLevel="0" max="14124" min="14118" style="0" width="11.45"/>
    <col collapsed="false" customWidth="true" hidden="false" outlineLevel="0" max="14133" min="14125" style="0" width="10.73"/>
    <col collapsed="false" customWidth="true" hidden="false" outlineLevel="0" max="14337" min="14337" style="0" width="15.54"/>
    <col collapsed="false" customWidth="true" hidden="false" outlineLevel="0" max="14338" min="14338" style="0" width="10.73"/>
    <col collapsed="false" customWidth="true" hidden="false" outlineLevel="0" max="14339" min="14339" style="0" width="34.27"/>
    <col collapsed="false" customWidth="true" hidden="false" outlineLevel="0" max="14340" min="14340" style="0" width="13.82"/>
    <col collapsed="false" customWidth="true" hidden="false" outlineLevel="0" max="14343" min="14341" style="0" width="11.45"/>
    <col collapsed="false" customWidth="true" hidden="false" outlineLevel="0" max="14344" min="14344" style="0" width="16.73"/>
    <col collapsed="false" customWidth="true" hidden="false" outlineLevel="0" max="14352" min="14345" style="0" width="11.45"/>
    <col collapsed="false" customWidth="true" hidden="false" outlineLevel="0" max="14353" min="14353" style="0" width="19"/>
    <col collapsed="false" customWidth="true" hidden="false" outlineLevel="0" max="14355" min="14354" style="0" width="11.45"/>
    <col collapsed="false" customWidth="true" hidden="false" outlineLevel="0" max="14356" min="14356" style="0" width="17.18"/>
    <col collapsed="false" customWidth="true" hidden="false" outlineLevel="0" max="14360" min="14357" style="0" width="11.45"/>
    <col collapsed="false" customWidth="true" hidden="false" outlineLevel="0" max="14361" min="14361" style="0" width="14.18"/>
    <col collapsed="false" customWidth="true" hidden="false" outlineLevel="0" max="14369" min="14362" style="0" width="11.45"/>
    <col collapsed="false" customWidth="true" hidden="false" outlineLevel="0" max="14370" min="14370" style="0" width="25"/>
    <col collapsed="false" customWidth="true" hidden="false" outlineLevel="0" max="14373" min="14371" style="0" width="10.73"/>
    <col collapsed="false" customWidth="true" hidden="false" outlineLevel="0" max="14380" min="14374" style="0" width="11.45"/>
    <col collapsed="false" customWidth="true" hidden="false" outlineLevel="0" max="14389" min="14381" style="0" width="10.73"/>
    <col collapsed="false" customWidth="true" hidden="false" outlineLevel="0" max="14593" min="14593" style="0" width="15.54"/>
    <col collapsed="false" customWidth="true" hidden="false" outlineLevel="0" max="14594" min="14594" style="0" width="10.73"/>
    <col collapsed="false" customWidth="true" hidden="false" outlineLevel="0" max="14595" min="14595" style="0" width="34.27"/>
    <col collapsed="false" customWidth="true" hidden="false" outlineLevel="0" max="14596" min="14596" style="0" width="13.82"/>
    <col collapsed="false" customWidth="true" hidden="false" outlineLevel="0" max="14599" min="14597" style="0" width="11.45"/>
    <col collapsed="false" customWidth="true" hidden="false" outlineLevel="0" max="14600" min="14600" style="0" width="16.73"/>
    <col collapsed="false" customWidth="true" hidden="false" outlineLevel="0" max="14608" min="14601" style="0" width="11.45"/>
    <col collapsed="false" customWidth="true" hidden="false" outlineLevel="0" max="14609" min="14609" style="0" width="19"/>
    <col collapsed="false" customWidth="true" hidden="false" outlineLevel="0" max="14611" min="14610" style="0" width="11.45"/>
    <col collapsed="false" customWidth="true" hidden="false" outlineLevel="0" max="14612" min="14612" style="0" width="17.18"/>
    <col collapsed="false" customWidth="true" hidden="false" outlineLevel="0" max="14616" min="14613" style="0" width="11.45"/>
    <col collapsed="false" customWidth="true" hidden="false" outlineLevel="0" max="14617" min="14617" style="0" width="14.18"/>
    <col collapsed="false" customWidth="true" hidden="false" outlineLevel="0" max="14625" min="14618" style="0" width="11.45"/>
    <col collapsed="false" customWidth="true" hidden="false" outlineLevel="0" max="14626" min="14626" style="0" width="25"/>
    <col collapsed="false" customWidth="true" hidden="false" outlineLevel="0" max="14629" min="14627" style="0" width="10.73"/>
    <col collapsed="false" customWidth="true" hidden="false" outlineLevel="0" max="14636" min="14630" style="0" width="11.45"/>
    <col collapsed="false" customWidth="true" hidden="false" outlineLevel="0" max="14645" min="14637" style="0" width="10.73"/>
    <col collapsed="false" customWidth="true" hidden="false" outlineLevel="0" max="14849" min="14849" style="0" width="15.54"/>
    <col collapsed="false" customWidth="true" hidden="false" outlineLevel="0" max="14850" min="14850" style="0" width="10.73"/>
    <col collapsed="false" customWidth="true" hidden="false" outlineLevel="0" max="14851" min="14851" style="0" width="34.27"/>
    <col collapsed="false" customWidth="true" hidden="false" outlineLevel="0" max="14852" min="14852" style="0" width="13.82"/>
    <col collapsed="false" customWidth="true" hidden="false" outlineLevel="0" max="14855" min="14853" style="0" width="11.45"/>
    <col collapsed="false" customWidth="true" hidden="false" outlineLevel="0" max="14856" min="14856" style="0" width="16.73"/>
    <col collapsed="false" customWidth="true" hidden="false" outlineLevel="0" max="14864" min="14857" style="0" width="11.45"/>
    <col collapsed="false" customWidth="true" hidden="false" outlineLevel="0" max="14865" min="14865" style="0" width="19"/>
    <col collapsed="false" customWidth="true" hidden="false" outlineLevel="0" max="14867" min="14866" style="0" width="11.45"/>
    <col collapsed="false" customWidth="true" hidden="false" outlineLevel="0" max="14868" min="14868" style="0" width="17.18"/>
    <col collapsed="false" customWidth="true" hidden="false" outlineLevel="0" max="14872" min="14869" style="0" width="11.45"/>
    <col collapsed="false" customWidth="true" hidden="false" outlineLevel="0" max="14873" min="14873" style="0" width="14.18"/>
    <col collapsed="false" customWidth="true" hidden="false" outlineLevel="0" max="14881" min="14874" style="0" width="11.45"/>
    <col collapsed="false" customWidth="true" hidden="false" outlineLevel="0" max="14882" min="14882" style="0" width="25"/>
    <col collapsed="false" customWidth="true" hidden="false" outlineLevel="0" max="14885" min="14883" style="0" width="10.73"/>
    <col collapsed="false" customWidth="true" hidden="false" outlineLevel="0" max="14892" min="14886" style="0" width="11.45"/>
    <col collapsed="false" customWidth="true" hidden="false" outlineLevel="0" max="14901" min="14893" style="0" width="10.73"/>
    <col collapsed="false" customWidth="true" hidden="false" outlineLevel="0" max="15105" min="15105" style="0" width="15.54"/>
    <col collapsed="false" customWidth="true" hidden="false" outlineLevel="0" max="15106" min="15106" style="0" width="10.73"/>
    <col collapsed="false" customWidth="true" hidden="false" outlineLevel="0" max="15107" min="15107" style="0" width="34.27"/>
    <col collapsed="false" customWidth="true" hidden="false" outlineLevel="0" max="15108" min="15108" style="0" width="13.82"/>
    <col collapsed="false" customWidth="true" hidden="false" outlineLevel="0" max="15111" min="15109" style="0" width="11.45"/>
    <col collapsed="false" customWidth="true" hidden="false" outlineLevel="0" max="15112" min="15112" style="0" width="16.73"/>
    <col collapsed="false" customWidth="true" hidden="false" outlineLevel="0" max="15120" min="15113" style="0" width="11.45"/>
    <col collapsed="false" customWidth="true" hidden="false" outlineLevel="0" max="15121" min="15121" style="0" width="19"/>
    <col collapsed="false" customWidth="true" hidden="false" outlineLevel="0" max="15123" min="15122" style="0" width="11.45"/>
    <col collapsed="false" customWidth="true" hidden="false" outlineLevel="0" max="15124" min="15124" style="0" width="17.18"/>
    <col collapsed="false" customWidth="true" hidden="false" outlineLevel="0" max="15128" min="15125" style="0" width="11.45"/>
    <col collapsed="false" customWidth="true" hidden="false" outlineLevel="0" max="15129" min="15129" style="0" width="14.18"/>
    <col collapsed="false" customWidth="true" hidden="false" outlineLevel="0" max="15137" min="15130" style="0" width="11.45"/>
    <col collapsed="false" customWidth="true" hidden="false" outlineLevel="0" max="15138" min="15138" style="0" width="25"/>
    <col collapsed="false" customWidth="true" hidden="false" outlineLevel="0" max="15141" min="15139" style="0" width="10.73"/>
    <col collapsed="false" customWidth="true" hidden="false" outlineLevel="0" max="15148" min="15142" style="0" width="11.45"/>
    <col collapsed="false" customWidth="true" hidden="false" outlineLevel="0" max="15157" min="15149" style="0" width="10.73"/>
    <col collapsed="false" customWidth="true" hidden="false" outlineLevel="0" max="15361" min="15361" style="0" width="15.54"/>
    <col collapsed="false" customWidth="true" hidden="false" outlineLevel="0" max="15362" min="15362" style="0" width="10.73"/>
    <col collapsed="false" customWidth="true" hidden="false" outlineLevel="0" max="15363" min="15363" style="0" width="34.27"/>
    <col collapsed="false" customWidth="true" hidden="false" outlineLevel="0" max="15364" min="15364" style="0" width="13.82"/>
    <col collapsed="false" customWidth="true" hidden="false" outlineLevel="0" max="15367" min="15365" style="0" width="11.45"/>
    <col collapsed="false" customWidth="true" hidden="false" outlineLevel="0" max="15368" min="15368" style="0" width="16.73"/>
    <col collapsed="false" customWidth="true" hidden="false" outlineLevel="0" max="15376" min="15369" style="0" width="11.45"/>
    <col collapsed="false" customWidth="true" hidden="false" outlineLevel="0" max="15377" min="15377" style="0" width="19"/>
    <col collapsed="false" customWidth="true" hidden="false" outlineLevel="0" max="15379" min="15378" style="0" width="11.45"/>
    <col collapsed="false" customWidth="true" hidden="false" outlineLevel="0" max="15380" min="15380" style="0" width="17.18"/>
    <col collapsed="false" customWidth="true" hidden="false" outlineLevel="0" max="15384" min="15381" style="0" width="11.45"/>
    <col collapsed="false" customWidth="true" hidden="false" outlineLevel="0" max="15385" min="15385" style="0" width="14.18"/>
    <col collapsed="false" customWidth="true" hidden="false" outlineLevel="0" max="15393" min="15386" style="0" width="11.45"/>
    <col collapsed="false" customWidth="true" hidden="false" outlineLevel="0" max="15394" min="15394" style="0" width="25"/>
    <col collapsed="false" customWidth="true" hidden="false" outlineLevel="0" max="15397" min="15395" style="0" width="10.73"/>
    <col collapsed="false" customWidth="true" hidden="false" outlineLevel="0" max="15404" min="15398" style="0" width="11.45"/>
    <col collapsed="false" customWidth="true" hidden="false" outlineLevel="0" max="15413" min="15405" style="0" width="10.73"/>
    <col collapsed="false" customWidth="true" hidden="false" outlineLevel="0" max="15617" min="15617" style="0" width="15.54"/>
    <col collapsed="false" customWidth="true" hidden="false" outlineLevel="0" max="15618" min="15618" style="0" width="10.73"/>
    <col collapsed="false" customWidth="true" hidden="false" outlineLevel="0" max="15619" min="15619" style="0" width="34.27"/>
    <col collapsed="false" customWidth="true" hidden="false" outlineLevel="0" max="15620" min="15620" style="0" width="13.82"/>
    <col collapsed="false" customWidth="true" hidden="false" outlineLevel="0" max="15623" min="15621" style="0" width="11.45"/>
    <col collapsed="false" customWidth="true" hidden="false" outlineLevel="0" max="15624" min="15624" style="0" width="16.73"/>
    <col collapsed="false" customWidth="true" hidden="false" outlineLevel="0" max="15632" min="15625" style="0" width="11.45"/>
    <col collapsed="false" customWidth="true" hidden="false" outlineLevel="0" max="15633" min="15633" style="0" width="19"/>
    <col collapsed="false" customWidth="true" hidden="false" outlineLevel="0" max="15635" min="15634" style="0" width="11.45"/>
    <col collapsed="false" customWidth="true" hidden="false" outlineLevel="0" max="15636" min="15636" style="0" width="17.18"/>
    <col collapsed="false" customWidth="true" hidden="false" outlineLevel="0" max="15640" min="15637" style="0" width="11.45"/>
    <col collapsed="false" customWidth="true" hidden="false" outlineLevel="0" max="15641" min="15641" style="0" width="14.18"/>
    <col collapsed="false" customWidth="true" hidden="false" outlineLevel="0" max="15649" min="15642" style="0" width="11.45"/>
    <col collapsed="false" customWidth="true" hidden="false" outlineLevel="0" max="15650" min="15650" style="0" width="25"/>
    <col collapsed="false" customWidth="true" hidden="false" outlineLevel="0" max="15653" min="15651" style="0" width="10.73"/>
    <col collapsed="false" customWidth="true" hidden="false" outlineLevel="0" max="15660" min="15654" style="0" width="11.45"/>
    <col collapsed="false" customWidth="true" hidden="false" outlineLevel="0" max="15669" min="15661" style="0" width="10.73"/>
    <col collapsed="false" customWidth="true" hidden="false" outlineLevel="0" max="15873" min="15873" style="0" width="15.54"/>
    <col collapsed="false" customWidth="true" hidden="false" outlineLevel="0" max="15874" min="15874" style="0" width="10.73"/>
    <col collapsed="false" customWidth="true" hidden="false" outlineLevel="0" max="15875" min="15875" style="0" width="34.27"/>
    <col collapsed="false" customWidth="true" hidden="false" outlineLevel="0" max="15876" min="15876" style="0" width="13.82"/>
    <col collapsed="false" customWidth="true" hidden="false" outlineLevel="0" max="15879" min="15877" style="0" width="11.45"/>
    <col collapsed="false" customWidth="true" hidden="false" outlineLevel="0" max="15880" min="15880" style="0" width="16.73"/>
    <col collapsed="false" customWidth="true" hidden="false" outlineLevel="0" max="15888" min="15881" style="0" width="11.45"/>
    <col collapsed="false" customWidth="true" hidden="false" outlineLevel="0" max="15889" min="15889" style="0" width="19"/>
    <col collapsed="false" customWidth="true" hidden="false" outlineLevel="0" max="15891" min="15890" style="0" width="11.45"/>
    <col collapsed="false" customWidth="true" hidden="false" outlineLevel="0" max="15892" min="15892" style="0" width="17.18"/>
    <col collapsed="false" customWidth="true" hidden="false" outlineLevel="0" max="15896" min="15893" style="0" width="11.45"/>
    <col collapsed="false" customWidth="true" hidden="false" outlineLevel="0" max="15897" min="15897" style="0" width="14.18"/>
    <col collapsed="false" customWidth="true" hidden="false" outlineLevel="0" max="15905" min="15898" style="0" width="11.45"/>
    <col collapsed="false" customWidth="true" hidden="false" outlineLevel="0" max="15906" min="15906" style="0" width="25"/>
    <col collapsed="false" customWidth="true" hidden="false" outlineLevel="0" max="15909" min="15907" style="0" width="10.73"/>
    <col collapsed="false" customWidth="true" hidden="false" outlineLevel="0" max="15916" min="15910" style="0" width="11.45"/>
    <col collapsed="false" customWidth="true" hidden="false" outlineLevel="0" max="15925" min="15917" style="0" width="10.73"/>
    <col collapsed="false" customWidth="true" hidden="false" outlineLevel="0" max="16129" min="16129" style="0" width="15.54"/>
    <col collapsed="false" customWidth="true" hidden="false" outlineLevel="0" max="16130" min="16130" style="0" width="10.73"/>
    <col collapsed="false" customWidth="true" hidden="false" outlineLevel="0" max="16131" min="16131" style="0" width="34.27"/>
    <col collapsed="false" customWidth="true" hidden="false" outlineLevel="0" max="16132" min="16132" style="0" width="13.82"/>
    <col collapsed="false" customWidth="true" hidden="false" outlineLevel="0" max="16135" min="16133" style="0" width="11.45"/>
    <col collapsed="false" customWidth="true" hidden="false" outlineLevel="0" max="16136" min="16136" style="0" width="16.73"/>
    <col collapsed="false" customWidth="true" hidden="false" outlineLevel="0" max="16144" min="16137" style="0" width="11.45"/>
    <col collapsed="false" customWidth="true" hidden="false" outlineLevel="0" max="16145" min="16145" style="0" width="19"/>
    <col collapsed="false" customWidth="true" hidden="false" outlineLevel="0" max="16147" min="16146" style="0" width="11.45"/>
    <col collapsed="false" customWidth="true" hidden="false" outlineLevel="0" max="16148" min="16148" style="0" width="17.18"/>
    <col collapsed="false" customWidth="true" hidden="false" outlineLevel="0" max="16152" min="16149" style="0" width="11.45"/>
    <col collapsed="false" customWidth="true" hidden="false" outlineLevel="0" max="16153" min="16153" style="0" width="14.18"/>
    <col collapsed="false" customWidth="true" hidden="false" outlineLevel="0" max="16161" min="16154" style="0" width="11.45"/>
    <col collapsed="false" customWidth="true" hidden="false" outlineLevel="0" max="16162" min="16162" style="0" width="25"/>
    <col collapsed="false" customWidth="true" hidden="false" outlineLevel="0" max="16165" min="16163" style="0" width="10.73"/>
    <col collapsed="false" customWidth="true" hidden="false" outlineLevel="0" max="16172" min="16166" style="0" width="11.45"/>
    <col collapsed="false" customWidth="true" hidden="false" outlineLevel="0" max="16181" min="16173" style="0" width="10.73"/>
  </cols>
  <sheetData>
    <row r="1" customFormat="false" ht="14.25" hidden="false" customHeight="false" outlineLevel="0" collapsed="false">
      <c r="A1" s="1" t="s">
        <v>0</v>
      </c>
      <c r="B1" s="2" t="n">
        <v>4420</v>
      </c>
      <c r="D1" s="3" t="s">
        <v>1</v>
      </c>
      <c r="E1" s="2" t="n">
        <f aca="false">F49+AG49</f>
        <v>250000</v>
      </c>
    </row>
    <row r="2" customFormat="false" ht="14.25" hidden="false" customHeight="false" outlineLevel="0" collapsed="false">
      <c r="A2" s="1" t="s">
        <v>2</v>
      </c>
      <c r="B2" s="2"/>
      <c r="D2" s="3" t="s">
        <v>3</v>
      </c>
      <c r="E2" s="2" t="n">
        <f aca="false">I49</f>
        <v>180000</v>
      </c>
      <c r="K2" s="4" t="n">
        <v>1</v>
      </c>
      <c r="L2" s="5" t="n">
        <f aca="false">I6+I9</f>
        <v>7909.12398190045</v>
      </c>
    </row>
    <row r="3" customFormat="false" ht="14.25" hidden="false" customHeight="false" outlineLevel="0" collapsed="false">
      <c r="A3" s="1" t="s">
        <v>4</v>
      </c>
      <c r="B3" s="2"/>
      <c r="D3" s="3" t="s">
        <v>5</v>
      </c>
      <c r="E3" s="2" t="n">
        <f aca="false">L49</f>
        <v>540000</v>
      </c>
      <c r="H3" s="6" t="s">
        <v>6</v>
      </c>
      <c r="I3" s="7" t="n">
        <f aca="false">E11+F14</f>
        <v>28192200</v>
      </c>
      <c r="K3" s="4" t="n">
        <v>2</v>
      </c>
      <c r="L3" s="5" t="n">
        <f aca="false">L2/K3</f>
        <v>3954.56199095023</v>
      </c>
    </row>
    <row r="4" customFormat="false" ht="14.25" hidden="false" customHeight="false" outlineLevel="0" collapsed="false">
      <c r="A4" s="1" t="s">
        <v>7</v>
      </c>
      <c r="B4" s="2"/>
      <c r="D4" s="3" t="s">
        <v>8</v>
      </c>
      <c r="E4" s="2" t="n">
        <f aca="false">O49</f>
        <v>4802000</v>
      </c>
      <c r="H4" s="8" t="s">
        <v>9</v>
      </c>
      <c r="I4" s="9" t="n">
        <f aca="false">I3*24%</f>
        <v>6766128</v>
      </c>
      <c r="K4" s="4" t="n">
        <v>3</v>
      </c>
      <c r="L4" s="5" t="n">
        <f aca="false">I6/K4</f>
        <v>2636.37466063348</v>
      </c>
    </row>
    <row r="5" customFormat="false" ht="14.25" hidden="false" customHeight="false" outlineLevel="0" collapsed="false">
      <c r="A5" s="1" t="s">
        <v>10</v>
      </c>
      <c r="B5" s="2"/>
      <c r="D5" s="3" t="s">
        <v>11</v>
      </c>
      <c r="E5" s="2" t="n">
        <f aca="false">S49</f>
        <v>3850000</v>
      </c>
      <c r="H5" s="8" t="s">
        <v>12</v>
      </c>
      <c r="I5" s="9" t="n">
        <f aca="false">I3+I4</f>
        <v>34958328</v>
      </c>
      <c r="K5" s="4" t="n">
        <v>4</v>
      </c>
      <c r="L5" s="10" t="n">
        <f aca="false">I6/K5</f>
        <v>1977.28099547511</v>
      </c>
    </row>
    <row r="6" customFormat="false" ht="14.25" hidden="false" customHeight="false" outlineLevel="0" collapsed="false">
      <c r="A6" s="1" t="s">
        <v>13</v>
      </c>
      <c r="B6" s="2"/>
      <c r="D6" s="3" t="s">
        <v>14</v>
      </c>
      <c r="E6" s="2" t="n">
        <f aca="false">P54</f>
        <v>3712800</v>
      </c>
      <c r="H6" s="11" t="s">
        <v>15</v>
      </c>
      <c r="I6" s="12" t="n">
        <f aca="false">I5/B1</f>
        <v>7909.12398190045</v>
      </c>
      <c r="K6" s="4" t="n">
        <v>5</v>
      </c>
      <c r="L6" s="5" t="n">
        <f aca="false">I6/K6</f>
        <v>1581.82479638009</v>
      </c>
    </row>
    <row r="7" customFormat="false" ht="14.25" hidden="false" customHeight="false" outlineLevel="0" collapsed="false">
      <c r="A7" s="1" t="s">
        <v>16</v>
      </c>
      <c r="B7" s="2"/>
      <c r="D7" s="3" t="s">
        <v>17</v>
      </c>
      <c r="E7" s="2" t="n">
        <f aca="false">W49+X49</f>
        <v>1220000</v>
      </c>
      <c r="K7" s="4" t="n">
        <v>6</v>
      </c>
      <c r="L7" s="5" t="n">
        <f aca="false">I6/K7</f>
        <v>1318.18733031674</v>
      </c>
    </row>
    <row r="8" customFormat="false" ht="14.25" hidden="false" customHeight="false" outlineLevel="0" collapsed="false">
      <c r="A8" s="13" t="s">
        <v>18</v>
      </c>
      <c r="B8" s="14"/>
      <c r="D8" s="3" t="s">
        <v>19</v>
      </c>
      <c r="E8" s="2" t="n">
        <f aca="false">AB49+AC49</f>
        <v>1455000</v>
      </c>
      <c r="H8" s="4"/>
      <c r="I8" s="4"/>
      <c r="K8" s="4" t="n">
        <v>7</v>
      </c>
      <c r="L8" s="5" t="n">
        <f aca="false">I6/K8</f>
        <v>1129.87485455721</v>
      </c>
    </row>
    <row r="9" customFormat="false" ht="14.25" hidden="false" customHeight="false" outlineLevel="0" collapsed="false">
      <c r="A9" s="14"/>
      <c r="B9" s="14"/>
      <c r="D9" s="3" t="s">
        <v>20</v>
      </c>
      <c r="E9" s="2" t="n">
        <f aca="false">AK49+AR49+AO49</f>
        <v>11882400</v>
      </c>
      <c r="H9" s="15"/>
      <c r="I9" s="16"/>
      <c r="K9" s="17" t="n">
        <v>8</v>
      </c>
      <c r="L9" s="10" t="n">
        <f aca="false">I6/8</f>
        <v>988.640497737557</v>
      </c>
    </row>
    <row r="10" customFormat="false" ht="14.25" hidden="false" customHeight="false" outlineLevel="0" collapsed="false">
      <c r="A10" s="14"/>
      <c r="B10" s="14"/>
      <c r="D10" s="3" t="s">
        <v>21</v>
      </c>
      <c r="E10" s="2" t="n">
        <f aca="false">AU49+AX49+BA49</f>
        <v>0</v>
      </c>
      <c r="K10" s="4" t="n">
        <v>9</v>
      </c>
      <c r="L10" s="5" t="n">
        <f aca="false">I6/K10</f>
        <v>878.791553544495</v>
      </c>
    </row>
    <row r="11" customFormat="false" ht="14.25" hidden="false" customHeight="false" outlineLevel="0" collapsed="false">
      <c r="A11" s="14"/>
      <c r="B11" s="14"/>
      <c r="D11" s="18" t="s">
        <v>22</v>
      </c>
      <c r="E11" s="19" t="n">
        <f aca="false">SUM(E1:E10)</f>
        <v>27892200</v>
      </c>
      <c r="K11" s="4" t="n">
        <v>10</v>
      </c>
      <c r="L11" s="5" t="n">
        <f aca="false">I6/K11</f>
        <v>790.912398190045</v>
      </c>
    </row>
    <row r="12" customFormat="false" ht="14.25" hidden="false" customHeight="false" outlineLevel="0" collapsed="false">
      <c r="A12" s="14"/>
      <c r="B12" s="14"/>
      <c r="K12" s="4" t="n">
        <v>11</v>
      </c>
      <c r="L12" s="5" t="n">
        <f aca="false">I6/11</f>
        <v>719.011271081859</v>
      </c>
    </row>
    <row r="13" customFormat="false" ht="14.25" hidden="false" customHeight="false" outlineLevel="0" collapsed="false">
      <c r="D13" s="20" t="s">
        <v>23</v>
      </c>
      <c r="E13" s="20" t="s">
        <v>24</v>
      </c>
      <c r="F13" s="20" t="s">
        <v>25</v>
      </c>
      <c r="K13" s="4" t="n">
        <v>12</v>
      </c>
      <c r="L13" s="5" t="n">
        <f aca="false">I6/K13</f>
        <v>659.093665158371</v>
      </c>
    </row>
    <row r="14" customFormat="false" ht="14.25" hidden="false" customHeight="false" outlineLevel="0" collapsed="false">
      <c r="D14" s="21" t="n">
        <v>150000</v>
      </c>
      <c r="E14" s="21" t="n">
        <v>2</v>
      </c>
      <c r="F14" s="21" t="n">
        <f aca="false">D14*E14</f>
        <v>300000</v>
      </c>
      <c r="K14" s="4" t="n">
        <v>13</v>
      </c>
      <c r="L14" s="5" t="n">
        <f aca="false">I6/K14</f>
        <v>608.394152453881</v>
      </c>
    </row>
    <row r="15" customFormat="false" ht="14.25" hidden="false" customHeight="false" outlineLevel="0" collapsed="false">
      <c r="I15" s="0" t="s">
        <v>26</v>
      </c>
      <c r="K15" s="4" t="n">
        <v>14</v>
      </c>
      <c r="L15" s="5" t="n">
        <f aca="false">I6/K15</f>
        <v>564.937427278604</v>
      </c>
    </row>
    <row r="16" customFormat="false" ht="14.25" hidden="false" customHeight="false" outlineLevel="0" collapsed="false">
      <c r="K16" s="4" t="n">
        <v>15</v>
      </c>
      <c r="L16" s="5" t="n">
        <f aca="false">I6/K16</f>
        <v>527.274932126697</v>
      </c>
    </row>
    <row r="17" customFormat="false" ht="14.25" hidden="false" customHeight="false" outlineLevel="0" collapsed="false">
      <c r="K17" s="4" t="n">
        <v>16</v>
      </c>
      <c r="L17" s="5" t="n">
        <f aca="false">I6/K17</f>
        <v>494.320248868778</v>
      </c>
    </row>
    <row r="18" customFormat="false" ht="15" hidden="false" customHeight="true" outlineLevel="0" collapsed="false"/>
    <row r="19" customFormat="false" ht="14.25" hidden="false" customHeight="false" outlineLevel="0" collapsed="false">
      <c r="A19" s="22" t="s">
        <v>27</v>
      </c>
      <c r="B19" s="23" t="s">
        <v>28</v>
      </c>
      <c r="C19" s="24" t="s">
        <v>29</v>
      </c>
      <c r="D19" s="25" t="s">
        <v>30</v>
      </c>
      <c r="E19" s="25" t="s">
        <v>31</v>
      </c>
      <c r="F19" s="25" t="s">
        <v>25</v>
      </c>
      <c r="G19" s="26" t="s">
        <v>3</v>
      </c>
      <c r="H19" s="26" t="s">
        <v>24</v>
      </c>
      <c r="I19" s="26" t="s">
        <v>25</v>
      </c>
      <c r="J19" s="27" t="s">
        <v>32</v>
      </c>
      <c r="K19" s="27" t="s">
        <v>33</v>
      </c>
      <c r="L19" s="27" t="s">
        <v>34</v>
      </c>
      <c r="M19" s="28" t="s">
        <v>35</v>
      </c>
      <c r="N19" s="29" t="s">
        <v>24</v>
      </c>
      <c r="O19" s="30" t="s">
        <v>34</v>
      </c>
      <c r="P19" s="31" t="s">
        <v>36</v>
      </c>
      <c r="Q19" s="32" t="s">
        <v>11</v>
      </c>
      <c r="R19" s="33" t="s">
        <v>37</v>
      </c>
      <c r="S19" s="34" t="s">
        <v>25</v>
      </c>
      <c r="T19" s="35" t="s">
        <v>38</v>
      </c>
      <c r="U19" s="35" t="s">
        <v>39</v>
      </c>
      <c r="V19" s="35" t="s">
        <v>24</v>
      </c>
      <c r="W19" s="35" t="s">
        <v>34</v>
      </c>
      <c r="X19" s="35" t="s">
        <v>11</v>
      </c>
      <c r="Y19" s="26" t="s">
        <v>40</v>
      </c>
      <c r="Z19" s="26" t="s">
        <v>41</v>
      </c>
      <c r="AA19" s="26" t="s">
        <v>24</v>
      </c>
      <c r="AB19" s="26" t="s">
        <v>34</v>
      </c>
      <c r="AC19" s="26" t="s">
        <v>11</v>
      </c>
      <c r="AD19" s="36"/>
      <c r="AE19" s="37" t="s">
        <v>42</v>
      </c>
      <c r="AF19" s="37" t="s">
        <v>33</v>
      </c>
      <c r="AG19" s="37" t="s">
        <v>34</v>
      </c>
      <c r="AH19" s="37" t="s">
        <v>43</v>
      </c>
      <c r="AI19" s="38" t="s">
        <v>44</v>
      </c>
      <c r="AJ19" s="38" t="s">
        <v>33</v>
      </c>
      <c r="AK19" s="38" t="s">
        <v>34</v>
      </c>
      <c r="AL19" s="38" t="s">
        <v>45</v>
      </c>
      <c r="AM19" s="38"/>
      <c r="AN19" s="38"/>
      <c r="AO19" s="38"/>
      <c r="AP19" s="39" t="s">
        <v>46</v>
      </c>
      <c r="AQ19" s="40" t="s">
        <v>47</v>
      </c>
      <c r="AR19" s="41" t="s">
        <v>34</v>
      </c>
      <c r="AS19" s="42" t="s">
        <v>48</v>
      </c>
      <c r="AT19" s="43" t="s">
        <v>33</v>
      </c>
      <c r="AU19" s="44" t="s">
        <v>34</v>
      </c>
      <c r="AV19" s="37" t="s">
        <v>49</v>
      </c>
      <c r="AW19" s="37" t="s">
        <v>24</v>
      </c>
      <c r="AX19" s="37" t="s">
        <v>25</v>
      </c>
      <c r="AY19" s="45" t="s">
        <v>50</v>
      </c>
      <c r="AZ19" s="46" t="s">
        <v>37</v>
      </c>
      <c r="BA19" s="47" t="s">
        <v>34</v>
      </c>
    </row>
    <row r="20" customFormat="false" ht="14.25" hidden="false" customHeight="false" outlineLevel="0" collapsed="false">
      <c r="B20" s="0" t="n">
        <v>10</v>
      </c>
      <c r="D20" s="8" t="n">
        <v>250000</v>
      </c>
      <c r="E20" s="2"/>
      <c r="F20" s="9" t="n">
        <f aca="false">D20*E20</f>
        <v>0</v>
      </c>
      <c r="G20" s="6"/>
      <c r="H20" s="48"/>
      <c r="I20" s="2" t="n">
        <f aca="false">G20*H20</f>
        <v>0</v>
      </c>
      <c r="J20" s="6" t="n">
        <v>225000</v>
      </c>
      <c r="K20" s="48" t="n">
        <v>2</v>
      </c>
      <c r="L20" s="49" t="n">
        <f aca="false">J20*K20</f>
        <v>450000</v>
      </c>
      <c r="M20" s="8" t="n">
        <f aca="false">70*4900</f>
        <v>343000</v>
      </c>
      <c r="N20" s="50" t="n">
        <v>14</v>
      </c>
      <c r="O20" s="51" t="n">
        <f aca="false">M20*N20</f>
        <v>4802000</v>
      </c>
      <c r="P20" s="52"/>
      <c r="Q20" s="8" t="n">
        <v>275000</v>
      </c>
      <c r="R20" s="2" t="n">
        <v>14</v>
      </c>
      <c r="S20" s="9" t="n">
        <f aca="false">Q20*R20</f>
        <v>3850000</v>
      </c>
      <c r="T20" s="6"/>
      <c r="U20" s="53"/>
      <c r="V20" s="50"/>
      <c r="W20" s="51" t="n">
        <f aca="false">U20*V20</f>
        <v>0</v>
      </c>
      <c r="X20" s="54"/>
      <c r="Y20" s="6"/>
      <c r="Z20" s="53"/>
      <c r="AA20" s="50"/>
      <c r="AB20" s="51" t="n">
        <f aca="false">Z20*AA20</f>
        <v>0</v>
      </c>
      <c r="AC20" s="54"/>
      <c r="AD20" s="55"/>
      <c r="AE20" s="53"/>
      <c r="AF20" s="50"/>
      <c r="AG20" s="51" t="n">
        <f aca="false">AE20*AF20</f>
        <v>0</v>
      </c>
      <c r="AH20" s="56"/>
      <c r="AI20" s="57"/>
      <c r="AJ20" s="50"/>
      <c r="AK20" s="51" t="n">
        <f aca="false">AI20*AJ20</f>
        <v>0</v>
      </c>
      <c r="AL20" s="58"/>
      <c r="AM20" s="54"/>
      <c r="AN20" s="54"/>
      <c r="AO20" s="54" t="n">
        <f aca="false">AM20*AN20</f>
        <v>0</v>
      </c>
      <c r="AP20" s="55" t="n">
        <v>5000</v>
      </c>
      <c r="AQ20" s="50" t="n">
        <v>20</v>
      </c>
      <c r="AR20" s="51" t="n">
        <f aca="false">AP20*AQ20</f>
        <v>100000</v>
      </c>
      <c r="AS20" s="55" t="n">
        <v>25000</v>
      </c>
      <c r="AT20" s="50"/>
      <c r="AU20" s="51" t="n">
        <f aca="false">AS20*AT20</f>
        <v>0</v>
      </c>
      <c r="AV20" s="55"/>
      <c r="AW20" s="50"/>
      <c r="AX20" s="51" t="n">
        <f aca="false">AV20*AW20</f>
        <v>0</v>
      </c>
      <c r="AY20" s="55"/>
      <c r="AZ20" s="50"/>
      <c r="BA20" s="51" t="n">
        <f aca="false">AY20*AZ20</f>
        <v>0</v>
      </c>
    </row>
    <row r="21" customFormat="false" ht="15.75" hidden="false" customHeight="true" outlineLevel="0" collapsed="false">
      <c r="A21" s="0" t="n">
        <v>1</v>
      </c>
      <c r="B21" s="0" t="n">
        <v>11</v>
      </c>
      <c r="C21" s="0" t="s">
        <v>88</v>
      </c>
      <c r="D21" s="8"/>
      <c r="E21" s="2"/>
      <c r="F21" s="9" t="n">
        <f aca="false">D21*E21</f>
        <v>0</v>
      </c>
      <c r="G21" s="8"/>
      <c r="H21" s="2"/>
      <c r="I21" s="2" t="n">
        <f aca="false">G21*H21</f>
        <v>0</v>
      </c>
      <c r="J21" s="8" t="n">
        <v>45000</v>
      </c>
      <c r="K21" s="2" t="n">
        <v>2</v>
      </c>
      <c r="L21" s="60" t="n">
        <f aca="false">J21*K21</f>
        <v>90000</v>
      </c>
      <c r="M21" s="8"/>
      <c r="N21" s="2"/>
      <c r="O21" s="9"/>
      <c r="P21" s="52" t="n">
        <f aca="false">1400*3</f>
        <v>4200</v>
      </c>
      <c r="Q21" s="8"/>
      <c r="R21" s="2"/>
      <c r="S21" s="9" t="n">
        <f aca="false">Q21*R21</f>
        <v>0</v>
      </c>
      <c r="T21" s="8" t="s">
        <v>52</v>
      </c>
      <c r="U21" s="57" t="n">
        <v>10000</v>
      </c>
      <c r="V21" s="2" t="n">
        <v>2</v>
      </c>
      <c r="W21" s="9" t="n">
        <f aca="false">U21*V21</f>
        <v>20000</v>
      </c>
      <c r="X21" s="61"/>
      <c r="Y21" s="8"/>
      <c r="Z21" s="57"/>
      <c r="AA21" s="2"/>
      <c r="AB21" s="51" t="n">
        <f aca="false">Z21*AA21</f>
        <v>0</v>
      </c>
      <c r="AC21" s="54"/>
      <c r="AD21" s="55"/>
      <c r="AE21" s="57"/>
      <c r="AF21" s="2"/>
      <c r="AG21" s="51" t="n">
        <f aca="false">AE21*AF21</f>
        <v>0</v>
      </c>
      <c r="AH21" s="19" t="s">
        <v>89</v>
      </c>
      <c r="AI21" s="57" t="n">
        <v>152000</v>
      </c>
      <c r="AJ21" s="50" t="n">
        <v>1</v>
      </c>
      <c r="AK21" s="51" t="n">
        <f aca="false">AI21*AJ21</f>
        <v>152000</v>
      </c>
      <c r="AM21" s="54"/>
      <c r="AN21" s="54"/>
      <c r="AO21" s="54" t="n">
        <f aca="false">AM21*AN21</f>
        <v>0</v>
      </c>
      <c r="AP21" s="55" t="n">
        <v>5000</v>
      </c>
      <c r="AQ21" s="50"/>
      <c r="AR21" s="51" t="n">
        <f aca="false">AP21*AQ21</f>
        <v>0</v>
      </c>
      <c r="AS21" s="55" t="n">
        <v>25000</v>
      </c>
      <c r="AT21" s="50"/>
      <c r="AU21" s="51" t="n">
        <f aca="false">AS21*AT21</f>
        <v>0</v>
      </c>
      <c r="AV21" s="8"/>
      <c r="AW21" s="2"/>
      <c r="AX21" s="51" t="n">
        <f aca="false">AV21*AW21</f>
        <v>0</v>
      </c>
      <c r="AY21" s="8"/>
      <c r="AZ21" s="2"/>
      <c r="BA21" s="51" t="n">
        <f aca="false">AY21*AZ21</f>
        <v>0</v>
      </c>
    </row>
    <row r="22" customFormat="false" ht="15.75" hidden="false" customHeight="true" outlineLevel="0" collapsed="false">
      <c r="A22" s="0" t="n">
        <v>2</v>
      </c>
      <c r="B22" s="8" t="n">
        <v>12</v>
      </c>
      <c r="C22" s="19" t="s">
        <v>90</v>
      </c>
      <c r="D22" s="8"/>
      <c r="E22" s="2"/>
      <c r="F22" s="9" t="n">
        <f aca="false">D22*E22</f>
        <v>0</v>
      </c>
      <c r="G22" s="8" t="n">
        <v>45000</v>
      </c>
      <c r="H22" s="2" t="n">
        <v>4</v>
      </c>
      <c r="I22" s="2" t="n">
        <f aca="false">G22*H22</f>
        <v>180000</v>
      </c>
      <c r="J22" s="8"/>
      <c r="K22" s="2"/>
      <c r="L22" s="60" t="n">
        <f aca="false">J22*K22</f>
        <v>0</v>
      </c>
      <c r="M22" s="8"/>
      <c r="N22" s="2"/>
      <c r="O22" s="9"/>
      <c r="P22" s="52"/>
      <c r="Q22" s="8"/>
      <c r="R22" s="2"/>
      <c r="S22" s="9" t="n">
        <f aca="false">Q22*R22</f>
        <v>0</v>
      </c>
      <c r="T22" s="8" t="s">
        <v>55</v>
      </c>
      <c r="U22" s="57" t="n">
        <v>65000</v>
      </c>
      <c r="V22" s="2" t="n">
        <v>2</v>
      </c>
      <c r="W22" s="9" t="n">
        <f aca="false">U22*V22</f>
        <v>130000</v>
      </c>
      <c r="X22" s="61" t="n">
        <v>30000</v>
      </c>
      <c r="Y22" s="8"/>
      <c r="Z22" s="57"/>
      <c r="AA22" s="2"/>
      <c r="AB22" s="51" t="n">
        <f aca="false">Z22*AA22</f>
        <v>0</v>
      </c>
      <c r="AC22" s="54"/>
      <c r="AD22" s="55"/>
      <c r="AE22" s="57"/>
      <c r="AF22" s="2"/>
      <c r="AG22" s="51" t="n">
        <f aca="false">AE22*AF22</f>
        <v>0</v>
      </c>
      <c r="AH22" s="19" t="s">
        <v>89</v>
      </c>
      <c r="AI22" s="57" t="n">
        <v>152000</v>
      </c>
      <c r="AJ22" s="50" t="n">
        <v>1</v>
      </c>
      <c r="AK22" s="51" t="n">
        <f aca="false">AI22*AJ22</f>
        <v>152000</v>
      </c>
      <c r="AM22" s="54"/>
      <c r="AN22" s="54"/>
      <c r="AO22" s="54" t="n">
        <f aca="false">AM22*AN22</f>
        <v>0</v>
      </c>
      <c r="AP22" s="55" t="n">
        <v>5000</v>
      </c>
      <c r="AQ22" s="50"/>
      <c r="AR22" s="51" t="n">
        <f aca="false">AP22*AQ22</f>
        <v>0</v>
      </c>
      <c r="AS22" s="55" t="n">
        <v>25000</v>
      </c>
      <c r="AT22" s="50"/>
      <c r="AU22" s="51" t="n">
        <f aca="false">AS22*AT22</f>
        <v>0</v>
      </c>
      <c r="AV22" s="8"/>
      <c r="AW22" s="2"/>
      <c r="AX22" s="51" t="n">
        <f aca="false">AV22*AW22</f>
        <v>0</v>
      </c>
      <c r="AY22" s="8"/>
      <c r="AZ22" s="2"/>
      <c r="BA22" s="51" t="n">
        <f aca="false">AY22*AZ22</f>
        <v>0</v>
      </c>
    </row>
    <row r="23" customFormat="false" ht="15.75" hidden="false" customHeight="true" outlineLevel="0" collapsed="false">
      <c r="A23" s="0" t="n">
        <v>3</v>
      </c>
      <c r="B23" s="63" t="n">
        <v>13</v>
      </c>
      <c r="C23" s="65" t="s">
        <v>91</v>
      </c>
      <c r="D23" s="8"/>
      <c r="E23" s="2"/>
      <c r="F23" s="9" t="n">
        <f aca="false">D23*E23</f>
        <v>0</v>
      </c>
      <c r="G23" s="8"/>
      <c r="H23" s="2"/>
      <c r="I23" s="2" t="n">
        <f aca="false">G23*H23</f>
        <v>0</v>
      </c>
      <c r="J23" s="8"/>
      <c r="K23" s="2"/>
      <c r="L23" s="60" t="n">
        <f aca="false">J23*K23</f>
        <v>0</v>
      </c>
      <c r="M23" s="8"/>
      <c r="N23" s="2"/>
      <c r="O23" s="9"/>
      <c r="P23" s="52"/>
      <c r="Q23" s="8"/>
      <c r="R23" s="2"/>
      <c r="S23" s="9" t="n">
        <f aca="false">Q23*R23</f>
        <v>0</v>
      </c>
      <c r="T23" s="8" t="s">
        <v>57</v>
      </c>
      <c r="U23" s="57" t="n">
        <v>20000</v>
      </c>
      <c r="V23" s="2" t="n">
        <v>1</v>
      </c>
      <c r="W23" s="9" t="n">
        <f aca="false">U23*V23</f>
        <v>20000</v>
      </c>
      <c r="X23" s="61"/>
      <c r="Y23" s="8"/>
      <c r="Z23" s="57"/>
      <c r="AA23" s="2"/>
      <c r="AB23" s="51" t="n">
        <f aca="false">Z23*AA23</f>
        <v>0</v>
      </c>
      <c r="AC23" s="54"/>
      <c r="AD23" s="55"/>
      <c r="AE23" s="57"/>
      <c r="AF23" s="2"/>
      <c r="AG23" s="51" t="n">
        <f aca="false">AE23*AF23</f>
        <v>0</v>
      </c>
      <c r="AH23" s="65" t="s">
        <v>92</v>
      </c>
      <c r="AI23" s="53" t="n">
        <v>230000</v>
      </c>
      <c r="AJ23" s="50" t="n">
        <v>1</v>
      </c>
      <c r="AK23" s="51" t="n">
        <f aca="false">AI23*AJ23</f>
        <v>230000</v>
      </c>
      <c r="AL23" s="65"/>
      <c r="AM23" s="54" t="n">
        <v>172000</v>
      </c>
      <c r="AN23" s="54" t="n">
        <v>0</v>
      </c>
      <c r="AO23" s="54" t="n">
        <f aca="false">AM23*AN23</f>
        <v>0</v>
      </c>
      <c r="AP23" s="55" t="n">
        <v>5000</v>
      </c>
      <c r="AQ23" s="50"/>
      <c r="AR23" s="51" t="n">
        <f aca="false">AP23*AQ23</f>
        <v>0</v>
      </c>
      <c r="AS23" s="55" t="n">
        <v>65000</v>
      </c>
      <c r="AT23" s="50"/>
      <c r="AU23" s="51" t="n">
        <f aca="false">AS23*AT23</f>
        <v>0</v>
      </c>
      <c r="AV23" s="8"/>
      <c r="AW23" s="2"/>
      <c r="AX23" s="51" t="n">
        <f aca="false">AV23*AW23</f>
        <v>0</v>
      </c>
      <c r="AY23" s="8"/>
      <c r="AZ23" s="2"/>
      <c r="BA23" s="51" t="n">
        <f aca="false">AY23*AZ23</f>
        <v>0</v>
      </c>
    </row>
    <row r="24" customFormat="false" ht="15.75" hidden="false" customHeight="true" outlineLevel="0" collapsed="false">
      <c r="A24" s="0" t="n">
        <v>4</v>
      </c>
      <c r="B24" s="63" t="n">
        <v>14</v>
      </c>
      <c r="C24" s="9" t="s">
        <v>93</v>
      </c>
      <c r="D24" s="8"/>
      <c r="E24" s="2"/>
      <c r="F24" s="9" t="n">
        <f aca="false">D24*E24</f>
        <v>0</v>
      </c>
      <c r="G24" s="8"/>
      <c r="H24" s="2"/>
      <c r="I24" s="2" t="n">
        <f aca="false">G24*H24</f>
        <v>0</v>
      </c>
      <c r="J24" s="8"/>
      <c r="K24" s="2"/>
      <c r="L24" s="60" t="n">
        <f aca="false">J24*K24</f>
        <v>0</v>
      </c>
      <c r="M24" s="8"/>
      <c r="N24" s="2"/>
      <c r="O24" s="9"/>
      <c r="P24" s="66"/>
      <c r="Q24" s="8"/>
      <c r="R24" s="2"/>
      <c r="S24" s="9" t="n">
        <f aca="false">Q24*R24</f>
        <v>0</v>
      </c>
      <c r="T24" s="8"/>
      <c r="U24" s="57"/>
      <c r="V24" s="2" t="n">
        <v>0</v>
      </c>
      <c r="W24" s="9" t="n">
        <f aca="false">U24*V24</f>
        <v>0</v>
      </c>
      <c r="X24" s="61"/>
      <c r="Y24" s="8"/>
      <c r="Z24" s="57"/>
      <c r="AA24" s="2"/>
      <c r="AB24" s="51" t="n">
        <f aca="false">Z24*AA24</f>
        <v>0</v>
      </c>
      <c r="AC24" s="54"/>
      <c r="AD24" s="55"/>
      <c r="AE24" s="57"/>
      <c r="AF24" s="2"/>
      <c r="AG24" s="51" t="n">
        <f aca="false">AE24*AF24</f>
        <v>0</v>
      </c>
      <c r="AH24" s="9" t="s">
        <v>94</v>
      </c>
      <c r="AI24" s="57" t="n">
        <f aca="false">190*5180</f>
        <v>984200</v>
      </c>
      <c r="AJ24" s="50" t="n">
        <v>1</v>
      </c>
      <c r="AK24" s="51" t="n">
        <f aca="false">AI24*AJ24</f>
        <v>984200</v>
      </c>
      <c r="AL24" s="9"/>
      <c r="AM24" s="54" t="n">
        <v>250000</v>
      </c>
      <c r="AN24" s="54" t="n">
        <v>0</v>
      </c>
      <c r="AO24" s="54" t="n">
        <f aca="false">AM24*AN24</f>
        <v>0</v>
      </c>
      <c r="AP24" s="55" t="n">
        <v>5000</v>
      </c>
      <c r="AQ24" s="50"/>
      <c r="AR24" s="51" t="n">
        <f aca="false">AP24*AQ24</f>
        <v>0</v>
      </c>
      <c r="AS24" s="55" t="n">
        <v>25000</v>
      </c>
      <c r="AT24" s="50"/>
      <c r="AU24" s="51" t="n">
        <f aca="false">AS24*AT24</f>
        <v>0</v>
      </c>
      <c r="AV24" s="8"/>
      <c r="AW24" s="2"/>
      <c r="AX24" s="51" t="n">
        <f aca="false">AV24*AW24</f>
        <v>0</v>
      </c>
      <c r="AY24" s="8"/>
      <c r="AZ24" s="2"/>
      <c r="BA24" s="51" t="n">
        <f aca="false">AY24*AZ24</f>
        <v>0</v>
      </c>
    </row>
    <row r="25" customFormat="false" ht="15.75" hidden="false" customHeight="true" outlineLevel="0" collapsed="false">
      <c r="A25" s="0" t="n">
        <v>5</v>
      </c>
      <c r="B25" s="63" t="n">
        <v>15</v>
      </c>
      <c r="C25" s="65" t="s">
        <v>95</v>
      </c>
      <c r="D25" s="8"/>
      <c r="E25" s="2"/>
      <c r="F25" s="9" t="n">
        <f aca="false">D25*E25</f>
        <v>0</v>
      </c>
      <c r="G25" s="8"/>
      <c r="H25" s="2"/>
      <c r="I25" s="2" t="n">
        <f aca="false">G25*H25</f>
        <v>0</v>
      </c>
      <c r="J25" s="8"/>
      <c r="K25" s="2"/>
      <c r="L25" s="60" t="n">
        <f aca="false">J25*K25</f>
        <v>0</v>
      </c>
      <c r="M25" s="8"/>
      <c r="N25" s="2"/>
      <c r="O25" s="9"/>
      <c r="P25" s="66"/>
      <c r="Q25" s="8"/>
      <c r="R25" s="2"/>
      <c r="S25" s="9" t="n">
        <f aca="false">Q25*R25</f>
        <v>0</v>
      </c>
      <c r="T25" s="8" t="s">
        <v>61</v>
      </c>
      <c r="U25" s="57" t="n">
        <v>90000</v>
      </c>
      <c r="V25" s="2" t="n">
        <v>2</v>
      </c>
      <c r="W25" s="9" t="n">
        <f aca="false">U25*V25</f>
        <v>180000</v>
      </c>
      <c r="X25" s="61"/>
      <c r="Y25" s="8"/>
      <c r="Z25" s="57"/>
      <c r="AA25" s="2"/>
      <c r="AB25" s="51" t="n">
        <f aca="false">Z25*AA25</f>
        <v>0</v>
      </c>
      <c r="AC25" s="54"/>
      <c r="AD25" s="55"/>
      <c r="AE25" s="57"/>
      <c r="AF25" s="2"/>
      <c r="AG25" s="51" t="n">
        <f aca="false">AE25*AF25</f>
        <v>0</v>
      </c>
      <c r="AH25" s="65" t="s">
        <v>96</v>
      </c>
      <c r="AI25" s="53" t="n">
        <v>995000</v>
      </c>
      <c r="AJ25" s="50" t="n">
        <v>1</v>
      </c>
      <c r="AK25" s="51" t="n">
        <f aca="false">AI25*AJ25</f>
        <v>995000</v>
      </c>
      <c r="AL25" s="65"/>
      <c r="AM25" s="54" t="n">
        <v>250000</v>
      </c>
      <c r="AN25" s="54" t="n">
        <v>0</v>
      </c>
      <c r="AO25" s="54" t="n">
        <f aca="false">AM25*AN25</f>
        <v>0</v>
      </c>
      <c r="AP25" s="55" t="n">
        <v>5000</v>
      </c>
      <c r="AQ25" s="50"/>
      <c r="AR25" s="51" t="n">
        <f aca="false">AP25*AQ25</f>
        <v>0</v>
      </c>
      <c r="AS25" s="55" t="n">
        <v>25000</v>
      </c>
      <c r="AT25" s="50"/>
      <c r="AU25" s="51" t="n">
        <f aca="false">AS25*AT25</f>
        <v>0</v>
      </c>
      <c r="AV25" s="8"/>
      <c r="AW25" s="2"/>
      <c r="AX25" s="51" t="n">
        <f aca="false">AV25*AW25</f>
        <v>0</v>
      </c>
      <c r="AY25" s="8"/>
      <c r="AZ25" s="2"/>
      <c r="BA25" s="51" t="n">
        <f aca="false">AY25*AZ25</f>
        <v>0</v>
      </c>
    </row>
    <row r="26" customFormat="false" ht="15.75" hidden="false" customHeight="true" outlineLevel="0" collapsed="false">
      <c r="A26" s="0" t="n">
        <v>6</v>
      </c>
      <c r="B26" s="63" t="n">
        <v>16</v>
      </c>
      <c r="C26" s="9" t="s">
        <v>59</v>
      </c>
      <c r="D26" s="8"/>
      <c r="E26" s="2"/>
      <c r="F26" s="9" t="n">
        <f aca="false">D26*E26</f>
        <v>0</v>
      </c>
      <c r="G26" s="8"/>
      <c r="H26" s="2"/>
      <c r="I26" s="2" t="n">
        <f aca="false">G26*H26</f>
        <v>0</v>
      </c>
      <c r="J26" s="8"/>
      <c r="K26" s="2"/>
      <c r="L26" s="60" t="n">
        <f aca="false">J26*K26</f>
        <v>0</v>
      </c>
      <c r="M26" s="8"/>
      <c r="N26" s="2"/>
      <c r="O26" s="9"/>
      <c r="P26" s="66"/>
      <c r="Q26" s="8"/>
      <c r="R26" s="2"/>
      <c r="S26" s="9" t="n">
        <f aca="false">Q26*R26</f>
        <v>0</v>
      </c>
      <c r="T26" s="8" t="s">
        <v>62</v>
      </c>
      <c r="U26" s="57" t="n">
        <v>65000</v>
      </c>
      <c r="V26" s="2" t="n">
        <v>2</v>
      </c>
      <c r="W26" s="9" t="n">
        <f aca="false">U26*V26</f>
        <v>130000</v>
      </c>
      <c r="X26" s="61"/>
      <c r="Y26" s="8"/>
      <c r="Z26" s="57" t="n">
        <v>25000</v>
      </c>
      <c r="AA26" s="2" t="n">
        <v>3</v>
      </c>
      <c r="AB26" s="51" t="n">
        <f aca="false">Z26*AA26</f>
        <v>75000</v>
      </c>
      <c r="AC26" s="54"/>
      <c r="AD26" s="55"/>
      <c r="AE26" s="57"/>
      <c r="AF26" s="2"/>
      <c r="AG26" s="51" t="n">
        <f aca="false">AE26*AF26</f>
        <v>0</v>
      </c>
      <c r="AH26" s="65" t="s">
        <v>96</v>
      </c>
      <c r="AI26" s="53" t="n">
        <v>995000</v>
      </c>
      <c r="AJ26" s="50" t="n">
        <v>1</v>
      </c>
      <c r="AK26" s="51" t="n">
        <f aca="false">AI26*AJ26</f>
        <v>995000</v>
      </c>
      <c r="AL26" s="9"/>
      <c r="AM26" s="54" t="n">
        <v>250000</v>
      </c>
      <c r="AN26" s="54" t="n">
        <v>0</v>
      </c>
      <c r="AO26" s="54" t="n">
        <f aca="false">AM26*AN26</f>
        <v>0</v>
      </c>
      <c r="AP26" s="55" t="n">
        <v>5000</v>
      </c>
      <c r="AQ26" s="50"/>
      <c r="AR26" s="51" t="n">
        <f aca="false">AP26*AQ26</f>
        <v>0</v>
      </c>
      <c r="AS26" s="55" t="n">
        <v>25000</v>
      </c>
      <c r="AT26" s="50"/>
      <c r="AU26" s="51" t="n">
        <f aca="false">AS26*AT26</f>
        <v>0</v>
      </c>
      <c r="AV26" s="8"/>
      <c r="AW26" s="2"/>
      <c r="AX26" s="51" t="n">
        <f aca="false">AV26*AW26</f>
        <v>0</v>
      </c>
      <c r="AY26" s="8"/>
      <c r="AZ26" s="2"/>
      <c r="BA26" s="51" t="n">
        <f aca="false">AY26*AZ26</f>
        <v>0</v>
      </c>
    </row>
    <row r="27" customFormat="false" ht="15.75" hidden="false" customHeight="true" outlineLevel="0" collapsed="false">
      <c r="A27" s="0" t="n">
        <v>7</v>
      </c>
      <c r="B27" s="63" t="n">
        <v>17</v>
      </c>
      <c r="C27" s="65" t="s">
        <v>97</v>
      </c>
      <c r="D27" s="8"/>
      <c r="E27" s="2"/>
      <c r="F27" s="9" t="n">
        <f aca="false">D27*E27</f>
        <v>0</v>
      </c>
      <c r="G27" s="8"/>
      <c r="H27" s="2"/>
      <c r="I27" s="2" t="n">
        <f aca="false">G27*H27</f>
        <v>0</v>
      </c>
      <c r="J27" s="8"/>
      <c r="K27" s="2"/>
      <c r="L27" s="60" t="n">
        <f aca="false">J27*K27</f>
        <v>0</v>
      </c>
      <c r="M27" s="8"/>
      <c r="N27" s="2"/>
      <c r="O27" s="9"/>
      <c r="P27" s="66"/>
      <c r="Q27" s="8"/>
      <c r="R27" s="2"/>
      <c r="S27" s="9" t="n">
        <f aca="false">Q27*R27</f>
        <v>0</v>
      </c>
      <c r="T27" s="8"/>
      <c r="U27" s="57"/>
      <c r="V27" s="2" t="n">
        <v>0</v>
      </c>
      <c r="W27" s="9" t="n">
        <f aca="false">U27*V27</f>
        <v>0</v>
      </c>
      <c r="X27" s="61"/>
      <c r="Y27" s="8" t="s">
        <v>64</v>
      </c>
      <c r="Z27" s="57" t="n">
        <v>110000</v>
      </c>
      <c r="AA27" s="2" t="n">
        <v>2</v>
      </c>
      <c r="AB27" s="51" t="n">
        <f aca="false">Z27*AA27</f>
        <v>220000</v>
      </c>
      <c r="AC27" s="54" t="n">
        <v>330000</v>
      </c>
      <c r="AD27" s="55"/>
      <c r="AE27" s="57"/>
      <c r="AF27" s="2"/>
      <c r="AG27" s="51" t="n">
        <f aca="false">AE27*AF27</f>
        <v>0</v>
      </c>
      <c r="AH27" s="9" t="s">
        <v>94</v>
      </c>
      <c r="AI27" s="57" t="n">
        <f aca="false">190*5180</f>
        <v>984200</v>
      </c>
      <c r="AJ27" s="50" t="n">
        <v>1</v>
      </c>
      <c r="AK27" s="51" t="n">
        <f aca="false">AI27*AJ27</f>
        <v>984200</v>
      </c>
      <c r="AL27" s="65"/>
      <c r="AM27" s="54" t="n">
        <v>250000</v>
      </c>
      <c r="AN27" s="54" t="n">
        <v>0</v>
      </c>
      <c r="AO27" s="54" t="n">
        <f aca="false">AM27*AN27</f>
        <v>0</v>
      </c>
      <c r="AP27" s="55" t="n">
        <v>5000</v>
      </c>
      <c r="AQ27" s="50"/>
      <c r="AR27" s="51" t="n">
        <f aca="false">AP27*AQ27</f>
        <v>0</v>
      </c>
      <c r="AS27" s="55" t="n">
        <v>25000</v>
      </c>
      <c r="AT27" s="50"/>
      <c r="AU27" s="51" t="n">
        <f aca="false">AS27*AT27</f>
        <v>0</v>
      </c>
      <c r="AV27" s="8"/>
      <c r="AW27" s="2"/>
      <c r="AX27" s="51" t="n">
        <f aca="false">AV27*AW27</f>
        <v>0</v>
      </c>
      <c r="AY27" s="8"/>
      <c r="AZ27" s="2"/>
      <c r="BA27" s="51" t="n">
        <f aca="false">AY27*AZ27</f>
        <v>0</v>
      </c>
    </row>
    <row r="28" customFormat="false" ht="15.75" hidden="false" customHeight="true" outlineLevel="0" collapsed="false">
      <c r="A28" s="0" t="n">
        <v>8</v>
      </c>
      <c r="B28" s="63" t="n">
        <v>18</v>
      </c>
      <c r="C28" s="9" t="s">
        <v>98</v>
      </c>
      <c r="D28" s="8"/>
      <c r="E28" s="2"/>
      <c r="F28" s="9" t="n">
        <f aca="false">D28*E28</f>
        <v>0</v>
      </c>
      <c r="G28" s="8"/>
      <c r="H28" s="2"/>
      <c r="I28" s="2" t="n">
        <f aca="false">G28*H28</f>
        <v>0</v>
      </c>
      <c r="J28" s="8"/>
      <c r="K28" s="2"/>
      <c r="L28" s="60" t="n">
        <f aca="false">J28*K28</f>
        <v>0</v>
      </c>
      <c r="M28" s="8"/>
      <c r="N28" s="2"/>
      <c r="O28" s="9"/>
      <c r="P28" s="66"/>
      <c r="Q28" s="8"/>
      <c r="R28" s="2"/>
      <c r="S28" s="9" t="n">
        <f aca="false">Q28*R28</f>
        <v>0</v>
      </c>
      <c r="T28" s="8" t="s">
        <v>66</v>
      </c>
      <c r="U28" s="57" t="n">
        <v>50000</v>
      </c>
      <c r="V28" s="2" t="n">
        <v>0</v>
      </c>
      <c r="W28" s="9" t="n">
        <f aca="false">U28*V28</f>
        <v>0</v>
      </c>
      <c r="X28" s="61"/>
      <c r="Y28" s="8" t="s">
        <v>67</v>
      </c>
      <c r="Z28" s="57" t="n">
        <v>25000</v>
      </c>
      <c r="AA28" s="2" t="n">
        <v>0</v>
      </c>
      <c r="AB28" s="51" t="n">
        <f aca="false">Z28*AA28</f>
        <v>0</v>
      </c>
      <c r="AC28" s="54"/>
      <c r="AD28" s="55"/>
      <c r="AE28" s="57"/>
      <c r="AF28" s="2"/>
      <c r="AG28" s="51" t="n">
        <f aca="false">AE28*AF28</f>
        <v>0</v>
      </c>
      <c r="AH28" s="9" t="s">
        <v>65</v>
      </c>
      <c r="AI28" s="57" t="n">
        <v>230000</v>
      </c>
      <c r="AJ28" s="50" t="n">
        <v>1</v>
      </c>
      <c r="AK28" s="19" t="n">
        <f aca="false">AI28*AJ28</f>
        <v>230000</v>
      </c>
      <c r="AL28" s="65"/>
      <c r="AM28" s="54"/>
      <c r="AN28" s="54" t="n">
        <v>0</v>
      </c>
      <c r="AO28" s="54" t="n">
        <f aca="false">AM28*AN28</f>
        <v>0</v>
      </c>
      <c r="AP28" s="55" t="n">
        <v>5000</v>
      </c>
      <c r="AQ28" s="50"/>
      <c r="AR28" s="51" t="n">
        <f aca="false">AP28*AQ28</f>
        <v>0</v>
      </c>
      <c r="AS28" s="55" t="n">
        <v>50000</v>
      </c>
      <c r="AT28" s="50"/>
      <c r="AU28" s="51" t="n">
        <f aca="false">AS28*AT28</f>
        <v>0</v>
      </c>
      <c r="AV28" s="8"/>
      <c r="AW28" s="2"/>
      <c r="AX28" s="51" t="n">
        <f aca="false">AV28*AW28</f>
        <v>0</v>
      </c>
      <c r="AY28" s="8"/>
      <c r="AZ28" s="2"/>
      <c r="BA28" s="51" t="n">
        <f aca="false">AY28*AZ28</f>
        <v>0</v>
      </c>
    </row>
    <row r="29" customFormat="false" ht="15.75" hidden="false" customHeight="true" outlineLevel="0" collapsed="false">
      <c r="A29" s="0" t="n">
        <v>9</v>
      </c>
      <c r="B29" s="63" t="n">
        <v>19</v>
      </c>
      <c r="C29" s="9" t="s">
        <v>63</v>
      </c>
      <c r="D29" s="8"/>
      <c r="E29" s="2"/>
      <c r="F29" s="9" t="n">
        <f aca="false">D29*E29</f>
        <v>0</v>
      </c>
      <c r="G29" s="8"/>
      <c r="H29" s="2"/>
      <c r="I29" s="2" t="n">
        <f aca="false">G29*H29</f>
        <v>0</v>
      </c>
      <c r="J29" s="8"/>
      <c r="K29" s="2"/>
      <c r="L29" s="60" t="n">
        <f aca="false">J29*K29</f>
        <v>0</v>
      </c>
      <c r="M29" s="8"/>
      <c r="N29" s="2"/>
      <c r="O29" s="9"/>
      <c r="P29" s="66"/>
      <c r="Q29" s="8"/>
      <c r="R29" s="2"/>
      <c r="S29" s="9" t="n">
        <f aca="false">Q29*R29</f>
        <v>0</v>
      </c>
      <c r="T29" s="8" t="s">
        <v>69</v>
      </c>
      <c r="U29" s="57" t="n">
        <v>65000</v>
      </c>
      <c r="V29" s="2" t="n">
        <v>2</v>
      </c>
      <c r="W29" s="9" t="n">
        <f aca="false">U29*V29</f>
        <v>130000</v>
      </c>
      <c r="X29" s="61"/>
      <c r="Y29" s="8" t="s">
        <v>70</v>
      </c>
      <c r="Z29" s="57" t="n">
        <v>110000</v>
      </c>
      <c r="AA29" s="2"/>
      <c r="AB29" s="51" t="n">
        <f aca="false">Z29*AA29</f>
        <v>0</v>
      </c>
      <c r="AC29" s="54"/>
      <c r="AD29" s="55"/>
      <c r="AE29" s="57"/>
      <c r="AF29" s="2"/>
      <c r="AG29" s="51" t="n">
        <f aca="false">AE29*AF29</f>
        <v>0</v>
      </c>
      <c r="AH29" s="9" t="s">
        <v>65</v>
      </c>
      <c r="AI29" s="57" t="n">
        <v>230000</v>
      </c>
      <c r="AJ29" s="50" t="n">
        <v>1</v>
      </c>
      <c r="AK29" s="51" t="n">
        <f aca="false">AI29*AJ29</f>
        <v>230000</v>
      </c>
      <c r="AL29" s="9"/>
      <c r="AM29" s="54" t="n">
        <v>170000</v>
      </c>
      <c r="AN29" s="54" t="n">
        <v>0</v>
      </c>
      <c r="AO29" s="54" t="n">
        <f aca="false">AM29*AN29</f>
        <v>0</v>
      </c>
      <c r="AP29" s="55" t="n">
        <v>5000</v>
      </c>
      <c r="AQ29" s="50"/>
      <c r="AR29" s="51" t="n">
        <f aca="false">AP29*AQ29</f>
        <v>0</v>
      </c>
      <c r="AS29" s="55" t="n">
        <v>50000</v>
      </c>
      <c r="AT29" s="50"/>
      <c r="AU29" s="51" t="n">
        <f aca="false">AS29*AT29</f>
        <v>0</v>
      </c>
      <c r="AV29" s="8"/>
      <c r="AW29" s="2"/>
      <c r="AX29" s="51" t="n">
        <f aca="false">AV29*AW29</f>
        <v>0</v>
      </c>
      <c r="AY29" s="8"/>
      <c r="AZ29" s="2"/>
      <c r="BA29" s="51" t="n">
        <f aca="false">AY29*AZ29</f>
        <v>0</v>
      </c>
    </row>
    <row r="30" customFormat="false" ht="15.75" hidden="false" customHeight="true" outlineLevel="0" collapsed="false">
      <c r="A30" s="0" t="n">
        <v>10</v>
      </c>
      <c r="B30" s="8" t="n">
        <v>20</v>
      </c>
      <c r="C30" s="65" t="s">
        <v>99</v>
      </c>
      <c r="D30" s="8"/>
      <c r="E30" s="2"/>
      <c r="F30" s="9" t="n">
        <f aca="false">D30*E30</f>
        <v>0</v>
      </c>
      <c r="G30" s="8"/>
      <c r="H30" s="2"/>
      <c r="I30" s="2" t="n">
        <f aca="false">G30*H30</f>
        <v>0</v>
      </c>
      <c r="J30" s="8"/>
      <c r="K30" s="2"/>
      <c r="L30" s="60" t="n">
        <f aca="false">J30*K30</f>
        <v>0</v>
      </c>
      <c r="M30" s="8"/>
      <c r="N30" s="2"/>
      <c r="O30" s="9"/>
      <c r="P30" s="66"/>
      <c r="Q30" s="8"/>
      <c r="R30" s="2"/>
      <c r="S30" s="9" t="n">
        <f aca="false">Q30*R30</f>
        <v>0</v>
      </c>
      <c r="T30" s="8" t="s">
        <v>72</v>
      </c>
      <c r="U30" s="57" t="n">
        <v>40000</v>
      </c>
      <c r="V30" s="2" t="n">
        <v>2</v>
      </c>
      <c r="W30" s="9" t="n">
        <f aca="false">U30*V30</f>
        <v>80000</v>
      </c>
      <c r="X30" s="61" t="n">
        <v>120000</v>
      </c>
      <c r="Y30" s="8"/>
      <c r="Z30" s="57"/>
      <c r="AA30" s="2"/>
      <c r="AB30" s="51" t="n">
        <f aca="false">Z30*AA30</f>
        <v>0</v>
      </c>
      <c r="AC30" s="54"/>
      <c r="AE30" s="57"/>
      <c r="AF30" s="2"/>
      <c r="AG30" s="51" t="n">
        <f aca="false">AE30*AF30</f>
        <v>0</v>
      </c>
      <c r="AH30" s="65" t="s">
        <v>100</v>
      </c>
      <c r="AI30" s="57" t="n">
        <v>730000</v>
      </c>
      <c r="AJ30" s="50" t="n">
        <v>1</v>
      </c>
      <c r="AK30" s="51" t="n">
        <f aca="false">AI30*AJ30</f>
        <v>730000</v>
      </c>
      <c r="AL30" s="9"/>
      <c r="AM30" s="54" t="n">
        <v>170000</v>
      </c>
      <c r="AN30" s="54" t="n">
        <v>0</v>
      </c>
      <c r="AO30" s="54" t="n">
        <f aca="false">AM30*AN30</f>
        <v>0</v>
      </c>
      <c r="AP30" s="55" t="n">
        <v>5000</v>
      </c>
      <c r="AQ30" s="50"/>
      <c r="AR30" s="51" t="n">
        <f aca="false">AP30*AQ30</f>
        <v>0</v>
      </c>
      <c r="AS30" s="55" t="n">
        <v>25000</v>
      </c>
      <c r="AT30" s="50"/>
      <c r="AU30" s="51" t="n">
        <f aca="false">AS30*AT30</f>
        <v>0</v>
      </c>
      <c r="AV30" s="8"/>
      <c r="AW30" s="2"/>
      <c r="AX30" s="51" t="n">
        <f aca="false">AV30*AW30</f>
        <v>0</v>
      </c>
      <c r="AY30" s="8"/>
      <c r="AZ30" s="2"/>
      <c r="BA30" s="51" t="n">
        <f aca="false">AY30*AZ30</f>
        <v>0</v>
      </c>
    </row>
    <row r="31" customFormat="false" ht="15.75" hidden="false" customHeight="true" outlineLevel="0" collapsed="false">
      <c r="A31" s="0" t="n">
        <v>11</v>
      </c>
      <c r="B31" s="8" t="n">
        <v>21</v>
      </c>
      <c r="C31" s="9" t="s">
        <v>68</v>
      </c>
      <c r="D31" s="8"/>
      <c r="E31" s="2"/>
      <c r="F31" s="9" t="n">
        <f aca="false">D31*E31</f>
        <v>0</v>
      </c>
      <c r="G31" s="8"/>
      <c r="H31" s="2"/>
      <c r="I31" s="2" t="n">
        <f aca="false">G31*H31</f>
        <v>0</v>
      </c>
      <c r="J31" s="8"/>
      <c r="K31" s="2"/>
      <c r="L31" s="60" t="n">
        <f aca="false">J31*K31</f>
        <v>0</v>
      </c>
      <c r="M31" s="8"/>
      <c r="N31" s="2"/>
      <c r="O31" s="9"/>
      <c r="P31" s="66"/>
      <c r="Q31" s="8"/>
      <c r="R31" s="2"/>
      <c r="S31" s="9" t="n">
        <f aca="false">Q31*R31</f>
        <v>0</v>
      </c>
      <c r="T31" s="8" t="s">
        <v>74</v>
      </c>
      <c r="U31" s="57" t="n">
        <v>50000</v>
      </c>
      <c r="V31" s="2" t="n">
        <v>0</v>
      </c>
      <c r="W31" s="9" t="n">
        <f aca="false">U31*V31</f>
        <v>0</v>
      </c>
      <c r="X31" s="61"/>
      <c r="Y31" s="8" t="s">
        <v>75</v>
      </c>
      <c r="Z31" s="57" t="n">
        <v>130000</v>
      </c>
      <c r="AA31" s="2" t="n">
        <v>2</v>
      </c>
      <c r="AB31" s="51" t="n">
        <f aca="false">Z31*AA31</f>
        <v>260000</v>
      </c>
      <c r="AC31" s="54" t="n">
        <v>240000</v>
      </c>
      <c r="AD31" s="55"/>
      <c r="AE31" s="57"/>
      <c r="AF31" s="2"/>
      <c r="AG31" s="51" t="n">
        <f aca="false">AE31*AF31</f>
        <v>0</v>
      </c>
      <c r="AH31" s="9" t="s">
        <v>100</v>
      </c>
      <c r="AI31" s="57" t="n">
        <v>730000</v>
      </c>
      <c r="AJ31" s="50" t="n">
        <v>1</v>
      </c>
      <c r="AK31" s="51" t="n">
        <f aca="false">AI31*AJ31</f>
        <v>730000</v>
      </c>
      <c r="AL31" s="65"/>
      <c r="AM31" s="54"/>
      <c r="AN31" s="54"/>
      <c r="AO31" s="54" t="n">
        <f aca="false">AM31*AN31</f>
        <v>0</v>
      </c>
      <c r="AP31" s="55"/>
      <c r="AQ31" s="50"/>
      <c r="AR31" s="51"/>
      <c r="AS31" s="55"/>
      <c r="AT31" s="50"/>
      <c r="AU31" s="51" t="n">
        <f aca="false">AS31*AT31</f>
        <v>0</v>
      </c>
      <c r="AV31" s="8"/>
      <c r="AW31" s="2"/>
      <c r="AX31" s="51" t="n">
        <f aca="false">AV31*AW31</f>
        <v>0</v>
      </c>
      <c r="AY31" s="8"/>
      <c r="AZ31" s="2"/>
      <c r="BA31" s="51" t="n">
        <f aca="false">AY31*AZ31</f>
        <v>0</v>
      </c>
    </row>
    <row r="32" customFormat="false" ht="15.75" hidden="false" customHeight="true" outlineLevel="0" collapsed="false">
      <c r="A32" s="0" t="n">
        <v>12</v>
      </c>
      <c r="B32" s="8" t="n">
        <v>22</v>
      </c>
      <c r="C32" s="65" t="s">
        <v>101</v>
      </c>
      <c r="D32" s="8"/>
      <c r="E32" s="2"/>
      <c r="F32" s="9" t="n">
        <f aca="false">D32*E32</f>
        <v>0</v>
      </c>
      <c r="G32" s="8"/>
      <c r="H32" s="2"/>
      <c r="I32" s="2" t="n">
        <f aca="false">G32*H32</f>
        <v>0</v>
      </c>
      <c r="J32" s="8"/>
      <c r="K32" s="2"/>
      <c r="L32" s="60" t="n">
        <f aca="false">J32*K32</f>
        <v>0</v>
      </c>
      <c r="M32" s="8"/>
      <c r="N32" s="2"/>
      <c r="O32" s="9"/>
      <c r="P32" s="66"/>
      <c r="Q32" s="8"/>
      <c r="R32" s="2"/>
      <c r="S32" s="9" t="n">
        <f aca="false">Q32*R32</f>
        <v>0</v>
      </c>
      <c r="T32" s="8" t="s">
        <v>78</v>
      </c>
      <c r="U32" s="57"/>
      <c r="V32" s="2"/>
      <c r="W32" s="9" t="n">
        <f aca="false">U32*V32</f>
        <v>0</v>
      </c>
      <c r="X32" s="61"/>
      <c r="Y32" s="8"/>
      <c r="Z32" s="57"/>
      <c r="AA32" s="2"/>
      <c r="AB32" s="51" t="n">
        <f aca="false">Z32*AA32</f>
        <v>0</v>
      </c>
      <c r="AC32" s="54"/>
      <c r="AD32" s="55"/>
      <c r="AE32" s="57"/>
      <c r="AF32" s="2"/>
      <c r="AG32" s="51" t="n">
        <f aca="false">AE32*AF32</f>
        <v>0</v>
      </c>
      <c r="AH32" s="65" t="s">
        <v>76</v>
      </c>
      <c r="AI32" s="57" t="n">
        <v>220000</v>
      </c>
      <c r="AJ32" s="50" t="n">
        <v>1</v>
      </c>
      <c r="AK32" s="51" t="n">
        <f aca="false">AI32*AJ32</f>
        <v>220000</v>
      </c>
      <c r="AL32" s="9"/>
      <c r="AM32" s="54"/>
      <c r="AN32" s="54"/>
      <c r="AO32" s="54" t="n">
        <f aca="false">AM32*AN32</f>
        <v>0</v>
      </c>
      <c r="AP32" s="55"/>
      <c r="AQ32" s="50"/>
      <c r="AR32" s="51"/>
      <c r="AS32" s="55"/>
      <c r="AT32" s="50"/>
      <c r="AU32" s="51" t="n">
        <f aca="false">AS32*AT32</f>
        <v>0</v>
      </c>
      <c r="AV32" s="8"/>
      <c r="AW32" s="2"/>
      <c r="AX32" s="51" t="n">
        <f aca="false">AV32*AW32</f>
        <v>0</v>
      </c>
      <c r="AY32" s="8"/>
      <c r="AZ32" s="2"/>
      <c r="BA32" s="51" t="n">
        <f aca="false">AY32*AZ32</f>
        <v>0</v>
      </c>
    </row>
    <row r="33" customFormat="false" ht="15.75" hidden="false" customHeight="true" outlineLevel="0" collapsed="false">
      <c r="A33" s="0" t="n">
        <v>13</v>
      </c>
      <c r="B33" s="8" t="n">
        <v>23</v>
      </c>
      <c r="C33" s="65" t="s">
        <v>102</v>
      </c>
      <c r="D33" s="8"/>
      <c r="E33" s="2"/>
      <c r="F33" s="9" t="n">
        <f aca="false">D33*E33</f>
        <v>0</v>
      </c>
      <c r="G33" s="8"/>
      <c r="H33" s="2"/>
      <c r="I33" s="2" t="n">
        <f aca="false">G33*H33</f>
        <v>0</v>
      </c>
      <c r="J33" s="8"/>
      <c r="K33" s="2"/>
      <c r="L33" s="60" t="n">
        <f aca="false">J33*K33</f>
        <v>0</v>
      </c>
      <c r="M33" s="8"/>
      <c r="N33" s="2"/>
      <c r="O33" s="9"/>
      <c r="P33" s="52"/>
      <c r="Q33" s="8"/>
      <c r="R33" s="2"/>
      <c r="S33" s="9" t="n">
        <f aca="false">Q33*R33</f>
        <v>0</v>
      </c>
      <c r="T33" s="8" t="s">
        <v>80</v>
      </c>
      <c r="U33" s="57" t="n">
        <v>65000</v>
      </c>
      <c r="V33" s="2"/>
      <c r="W33" s="9" t="n">
        <f aca="false">U33*V33</f>
        <v>0</v>
      </c>
      <c r="X33" s="61"/>
      <c r="Y33" s="8" t="s">
        <v>81</v>
      </c>
      <c r="Z33" s="57" t="n">
        <v>90000</v>
      </c>
      <c r="AA33" s="2" t="n">
        <v>2</v>
      </c>
      <c r="AB33" s="51" t="n">
        <f aca="false">Z33*AA33</f>
        <v>180000</v>
      </c>
      <c r="AC33" s="54" t="n">
        <v>150000</v>
      </c>
      <c r="AD33" s="55"/>
      <c r="AE33" s="57"/>
      <c r="AF33" s="2"/>
      <c r="AG33" s="51" t="n">
        <f aca="false">AE33*AF33</f>
        <v>0</v>
      </c>
      <c r="AH33" s="65" t="s">
        <v>92</v>
      </c>
      <c r="AI33" s="57" t="n">
        <v>250000</v>
      </c>
      <c r="AJ33" s="50" t="n">
        <v>3</v>
      </c>
      <c r="AK33" s="51" t="n">
        <f aca="false">AI33*AJ33</f>
        <v>750000</v>
      </c>
      <c r="AL33" s="65"/>
      <c r="AM33" s="54"/>
      <c r="AN33" s="54"/>
      <c r="AO33" s="54" t="n">
        <f aca="false">AM33*AN33</f>
        <v>0</v>
      </c>
      <c r="AP33" s="55"/>
      <c r="AQ33" s="50"/>
      <c r="AR33" s="51"/>
      <c r="AS33" s="55"/>
      <c r="AT33" s="50"/>
      <c r="AU33" s="51" t="n">
        <f aca="false">AS33*AT33</f>
        <v>0</v>
      </c>
      <c r="AV33" s="8"/>
      <c r="AW33" s="2"/>
      <c r="AX33" s="51" t="n">
        <f aca="false">AV33*AW33</f>
        <v>0</v>
      </c>
      <c r="AY33" s="8"/>
      <c r="AZ33" s="2"/>
      <c r="BA33" s="51" t="n">
        <f aca="false">AY33*AZ33</f>
        <v>0</v>
      </c>
    </row>
    <row r="34" customFormat="false" ht="15.75" hidden="false" customHeight="true" outlineLevel="0" collapsed="false">
      <c r="A34" s="8" t="n">
        <v>14</v>
      </c>
      <c r="B34" s="67" t="n">
        <v>24</v>
      </c>
      <c r="C34" s="9" t="s">
        <v>103</v>
      </c>
      <c r="D34" s="8"/>
      <c r="E34" s="2"/>
      <c r="F34" s="9" t="n">
        <f aca="false">D34*E34</f>
        <v>0</v>
      </c>
      <c r="G34" s="8"/>
      <c r="H34" s="2"/>
      <c r="I34" s="2" t="n">
        <f aca="false">G34*H34</f>
        <v>0</v>
      </c>
      <c r="J34" s="8"/>
      <c r="K34" s="2"/>
      <c r="L34" s="60" t="n">
        <f aca="false">J34*K34</f>
        <v>0</v>
      </c>
      <c r="M34" s="8"/>
      <c r="N34" s="2"/>
      <c r="O34" s="9"/>
      <c r="P34" s="52"/>
      <c r="Q34" s="8"/>
      <c r="R34" s="2"/>
      <c r="S34" s="9" t="n">
        <f aca="false">Q34*R34</f>
        <v>0</v>
      </c>
      <c r="T34" s="8" t="s">
        <v>83</v>
      </c>
      <c r="U34" s="57" t="n">
        <v>90000</v>
      </c>
      <c r="V34" s="2" t="n">
        <v>2</v>
      </c>
      <c r="W34" s="9" t="n">
        <f aca="false">U34*V34</f>
        <v>180000</v>
      </c>
      <c r="X34" s="61" t="n">
        <v>200000</v>
      </c>
      <c r="Y34" s="8"/>
      <c r="Z34" s="57"/>
      <c r="AA34" s="2" t="s">
        <v>104</v>
      </c>
      <c r="AB34" s="51"/>
      <c r="AC34" s="54"/>
      <c r="AD34" s="55" t="s">
        <v>84</v>
      </c>
      <c r="AE34" s="57" t="n">
        <v>250000</v>
      </c>
      <c r="AF34" s="2" t="n">
        <v>1</v>
      </c>
      <c r="AG34" s="51" t="n">
        <f aca="false">AE34*AF34</f>
        <v>250000</v>
      </c>
      <c r="AH34" s="9" t="s">
        <v>105</v>
      </c>
      <c r="AI34" s="68"/>
      <c r="AJ34" s="50" t="n">
        <v>1</v>
      </c>
      <c r="AK34" s="51" t="n">
        <f aca="false">AI34*AJ34</f>
        <v>0</v>
      </c>
      <c r="AL34" s="65"/>
      <c r="AM34" s="54"/>
      <c r="AN34" s="54"/>
      <c r="AO34" s="54" t="n">
        <f aca="false">AM34*AN34</f>
        <v>0</v>
      </c>
      <c r="AP34" s="55"/>
      <c r="AQ34" s="50"/>
      <c r="AR34" s="51"/>
      <c r="AS34" s="55" t="n">
        <v>25000</v>
      </c>
      <c r="AT34" s="50"/>
      <c r="AU34" s="51" t="n">
        <f aca="false">AS34*AT34</f>
        <v>0</v>
      </c>
      <c r="AV34" s="8"/>
      <c r="AW34" s="2"/>
      <c r="AX34" s="51" t="n">
        <f aca="false">AV34*AW34</f>
        <v>0</v>
      </c>
      <c r="AY34" s="8"/>
      <c r="AZ34" s="2"/>
      <c r="BA34" s="51" t="n">
        <f aca="false">AY34*AZ34</f>
        <v>0</v>
      </c>
    </row>
    <row r="35" customFormat="false" ht="15.75" hidden="false" customHeight="true" outlineLevel="0" collapsed="false">
      <c r="A35" s="8" t="n">
        <v>15</v>
      </c>
      <c r="B35" s="8" t="n">
        <v>25</v>
      </c>
      <c r="C35" s="65" t="s">
        <v>106</v>
      </c>
      <c r="D35" s="8"/>
      <c r="E35" s="2" t="n">
        <v>1</v>
      </c>
      <c r="F35" s="9" t="n">
        <f aca="false">D35*E35</f>
        <v>0</v>
      </c>
      <c r="G35" s="8"/>
      <c r="H35" s="2"/>
      <c r="I35" s="2" t="n">
        <f aca="false">G35*H35</f>
        <v>0</v>
      </c>
      <c r="J35" s="8"/>
      <c r="K35" s="2"/>
      <c r="L35" s="60" t="n">
        <f aca="false">J35*K35</f>
        <v>0</v>
      </c>
      <c r="M35" s="8"/>
      <c r="N35" s="2"/>
      <c r="O35" s="9" t="n">
        <f aca="false">M35*N35</f>
        <v>0</v>
      </c>
      <c r="P35" s="52"/>
      <c r="Q35" s="8"/>
      <c r="R35" s="2"/>
      <c r="S35" s="9" t="n">
        <f aca="false">Q35*R35</f>
        <v>0</v>
      </c>
      <c r="T35" s="8" t="s">
        <v>85</v>
      </c>
      <c r="U35" s="57" t="n">
        <v>30000</v>
      </c>
      <c r="V35" s="2" t="n">
        <v>0</v>
      </c>
      <c r="W35" s="9" t="n">
        <f aca="false">U35*V35</f>
        <v>0</v>
      </c>
      <c r="X35" s="61"/>
      <c r="Y35" s="8"/>
      <c r="Z35" s="57"/>
      <c r="AA35" s="2"/>
      <c r="AB35" s="51" t="n">
        <f aca="false">Z35*AA35</f>
        <v>0</v>
      </c>
      <c r="AC35" s="54"/>
      <c r="AD35" s="55"/>
      <c r="AE35" s="57"/>
      <c r="AF35" s="2"/>
      <c r="AG35" s="51" t="n">
        <f aca="false">AE35*AF35</f>
        <v>0</v>
      </c>
      <c r="AH35" s="65" t="s">
        <v>107</v>
      </c>
      <c r="AI35" s="68"/>
      <c r="AJ35" s="50"/>
      <c r="AK35" s="51" t="n">
        <f aca="false">AI35*AJ35</f>
        <v>0</v>
      </c>
      <c r="AL35" s="9"/>
      <c r="AM35" s="54"/>
      <c r="AN35" s="54"/>
      <c r="AO35" s="54" t="n">
        <f aca="false">AM35*AN35</f>
        <v>0</v>
      </c>
      <c r="AP35" s="55"/>
      <c r="AQ35" s="50"/>
      <c r="AR35" s="51" t="n">
        <f aca="false">AP35*AQ35</f>
        <v>0</v>
      </c>
      <c r="AS35" s="55"/>
      <c r="AT35" s="50"/>
      <c r="AU35" s="51" t="n">
        <f aca="false">AS35*AT35</f>
        <v>0</v>
      </c>
      <c r="AV35" s="8"/>
      <c r="AW35" s="2"/>
      <c r="AX35" s="51" t="n">
        <f aca="false">AV35*AW35</f>
        <v>0</v>
      </c>
      <c r="AY35" s="8"/>
      <c r="AZ35" s="2"/>
      <c r="BA35" s="51" t="n">
        <f aca="false">AY35*AZ35</f>
        <v>0</v>
      </c>
    </row>
    <row r="36" customFormat="false" ht="15.75" hidden="false" customHeight="true" outlineLevel="0" collapsed="false">
      <c r="A36" s="8" t="n">
        <v>16</v>
      </c>
      <c r="B36" s="8" t="n">
        <v>26</v>
      </c>
      <c r="C36" s="9" t="s">
        <v>108</v>
      </c>
      <c r="D36" s="8"/>
      <c r="E36" s="2"/>
      <c r="F36" s="9" t="n">
        <f aca="false">D36*E36</f>
        <v>0</v>
      </c>
      <c r="G36" s="8"/>
      <c r="H36" s="2"/>
      <c r="I36" s="2" t="n">
        <f aca="false">G36*H36</f>
        <v>0</v>
      </c>
      <c r="J36" s="8"/>
      <c r="K36" s="2"/>
      <c r="L36" s="60" t="n">
        <f aca="false">J36*K36</f>
        <v>0</v>
      </c>
      <c r="M36" s="8"/>
      <c r="N36" s="2"/>
      <c r="O36" s="9" t="n">
        <f aca="false">M36*N36</f>
        <v>0</v>
      </c>
      <c r="P36" s="52"/>
      <c r="Q36" s="8"/>
      <c r="R36" s="2"/>
      <c r="S36" s="9" t="n">
        <f aca="false">Q36*R36</f>
        <v>0</v>
      </c>
      <c r="T36" s="8" t="s">
        <v>86</v>
      </c>
      <c r="U36" s="57" t="n">
        <v>30000</v>
      </c>
      <c r="V36" s="2" t="n">
        <v>0</v>
      </c>
      <c r="W36" s="9" t="n">
        <f aca="false">U36*V36</f>
        <v>0</v>
      </c>
      <c r="X36" s="61"/>
      <c r="Y36" s="8"/>
      <c r="Z36" s="57"/>
      <c r="AA36" s="2"/>
      <c r="AB36" s="51" t="n">
        <f aca="false">Z36*AA36</f>
        <v>0</v>
      </c>
      <c r="AC36" s="54"/>
      <c r="AD36" s="55"/>
      <c r="AE36" s="57"/>
      <c r="AF36" s="2"/>
      <c r="AG36" s="51" t="n">
        <f aca="false">AE36*AF36</f>
        <v>0</v>
      </c>
      <c r="AH36" s="65" t="s">
        <v>107</v>
      </c>
      <c r="AI36" s="68" t="n">
        <v>880000</v>
      </c>
      <c r="AJ36" s="50" t="n">
        <v>5</v>
      </c>
      <c r="AK36" s="51" t="n">
        <f aca="false">AI36*AJ36</f>
        <v>4400000</v>
      </c>
      <c r="AL36" s="53"/>
      <c r="AM36" s="54"/>
      <c r="AN36" s="54"/>
      <c r="AO36" s="54" t="n">
        <f aca="false">AM36*AN36</f>
        <v>0</v>
      </c>
      <c r="AP36" s="55"/>
      <c r="AQ36" s="50"/>
      <c r="AR36" s="51" t="n">
        <f aca="false">AP36*AQ36</f>
        <v>0</v>
      </c>
      <c r="AS36" s="8"/>
      <c r="AT36" s="2"/>
      <c r="AU36" s="51" t="n">
        <f aca="false">AS36*AT36</f>
        <v>0</v>
      </c>
      <c r="AV36" s="8"/>
      <c r="AW36" s="2"/>
      <c r="AX36" s="51" t="n">
        <f aca="false">AV36*AW36</f>
        <v>0</v>
      </c>
      <c r="AY36" s="8"/>
      <c r="AZ36" s="2"/>
      <c r="BA36" s="51" t="n">
        <f aca="false">AY36*AZ36</f>
        <v>0</v>
      </c>
    </row>
    <row r="37" customFormat="false" ht="15.75" hidden="false" customHeight="true" outlineLevel="0" collapsed="false">
      <c r="A37" s="8" t="n">
        <v>17</v>
      </c>
      <c r="B37" s="8" t="n">
        <v>27</v>
      </c>
      <c r="C37" s="9" t="s">
        <v>108</v>
      </c>
      <c r="D37" s="8"/>
      <c r="E37" s="2"/>
      <c r="F37" s="9" t="n">
        <f aca="false">D37*E37</f>
        <v>0</v>
      </c>
      <c r="G37" s="8"/>
      <c r="H37" s="2"/>
      <c r="I37" s="2" t="n">
        <f aca="false">G37*H37</f>
        <v>0</v>
      </c>
      <c r="J37" s="8"/>
      <c r="K37" s="2"/>
      <c r="L37" s="60" t="n">
        <f aca="false">J37*K37</f>
        <v>0</v>
      </c>
      <c r="M37" s="8"/>
      <c r="N37" s="2"/>
      <c r="O37" s="9" t="n">
        <f aca="false">M37*N37</f>
        <v>0</v>
      </c>
      <c r="P37" s="52"/>
      <c r="Q37" s="8"/>
      <c r="R37" s="2"/>
      <c r="S37" s="9" t="n">
        <f aca="false">Q37*R37</f>
        <v>0</v>
      </c>
      <c r="U37" s="57"/>
      <c r="V37" s="2"/>
      <c r="W37" s="9" t="n">
        <f aca="false">U37*V37</f>
        <v>0</v>
      </c>
      <c r="X37" s="61"/>
      <c r="Y37" s="8"/>
      <c r="Z37" s="57"/>
      <c r="AA37" s="2"/>
      <c r="AB37" s="51" t="n">
        <f aca="false">Z37*AA37</f>
        <v>0</v>
      </c>
      <c r="AC37" s="54"/>
      <c r="AD37" s="55"/>
      <c r="AE37" s="57"/>
      <c r="AF37" s="2"/>
      <c r="AG37" s="51" t="n">
        <f aca="false">AE37*AF37</f>
        <v>0</v>
      </c>
      <c r="AH37" s="65" t="s">
        <v>107</v>
      </c>
      <c r="AI37" s="68"/>
      <c r="AJ37" s="2"/>
      <c r="AK37" s="51"/>
      <c r="AL37" s="53"/>
      <c r="AM37" s="54"/>
      <c r="AN37" s="54"/>
      <c r="AO37" s="54" t="n">
        <f aca="false">AM37*AN37</f>
        <v>0</v>
      </c>
      <c r="AP37" s="55"/>
      <c r="AQ37" s="50"/>
      <c r="AR37" s="51" t="n">
        <f aca="false">AP37*AQ37</f>
        <v>0</v>
      </c>
      <c r="AS37" s="8"/>
      <c r="AT37" s="2"/>
      <c r="AU37" s="51" t="n">
        <f aca="false">AS37*AT37</f>
        <v>0</v>
      </c>
      <c r="AV37" s="8"/>
      <c r="AW37" s="2"/>
      <c r="AX37" s="51" t="n">
        <f aca="false">AV37*AW37</f>
        <v>0</v>
      </c>
      <c r="AY37" s="8"/>
      <c r="AZ37" s="2"/>
      <c r="BA37" s="51" t="n">
        <f aca="false">AY37*AZ37</f>
        <v>0</v>
      </c>
    </row>
    <row r="38" customFormat="false" ht="15.75" hidden="false" customHeight="true" outlineLevel="0" collapsed="false">
      <c r="A38" s="8" t="n">
        <v>18</v>
      </c>
      <c r="B38" s="8" t="n">
        <v>28</v>
      </c>
      <c r="C38" s="9" t="s">
        <v>108</v>
      </c>
      <c r="D38" s="8"/>
      <c r="E38" s="2"/>
      <c r="F38" s="9" t="n">
        <f aca="false">D38*E38</f>
        <v>0</v>
      </c>
      <c r="G38" s="8"/>
      <c r="H38" s="2"/>
      <c r="I38" s="2" t="n">
        <f aca="false">G38*H38</f>
        <v>0</v>
      </c>
      <c r="J38" s="8"/>
      <c r="K38" s="2"/>
      <c r="L38" s="60" t="n">
        <f aca="false">J38*K38</f>
        <v>0</v>
      </c>
      <c r="M38" s="8"/>
      <c r="N38" s="2"/>
      <c r="O38" s="9" t="n">
        <f aca="false">M38*N38</f>
        <v>0</v>
      </c>
      <c r="P38" s="52"/>
      <c r="Q38" s="8"/>
      <c r="R38" s="2"/>
      <c r="S38" s="9" t="n">
        <f aca="false">Q38*R38</f>
        <v>0</v>
      </c>
      <c r="T38" s="8"/>
      <c r="U38" s="57"/>
      <c r="V38" s="2"/>
      <c r="W38" s="9" t="n">
        <f aca="false">U38*V38</f>
        <v>0</v>
      </c>
      <c r="X38" s="61"/>
      <c r="Y38" s="8"/>
      <c r="Z38" s="57"/>
      <c r="AA38" s="2"/>
      <c r="AB38" s="51" t="n">
        <f aca="false">Z38*AA38</f>
        <v>0</v>
      </c>
      <c r="AC38" s="54"/>
      <c r="AD38" s="55"/>
      <c r="AE38" s="57"/>
      <c r="AF38" s="2"/>
      <c r="AG38" s="51" t="n">
        <f aca="false">AE38*AF38</f>
        <v>0</v>
      </c>
      <c r="AH38" s="65" t="s">
        <v>107</v>
      </c>
      <c r="AI38" s="68"/>
      <c r="AJ38" s="2"/>
      <c r="AK38" s="51"/>
      <c r="AL38" s="53"/>
      <c r="AM38" s="54"/>
      <c r="AN38" s="54"/>
      <c r="AO38" s="54" t="n">
        <f aca="false">AM38*AN38</f>
        <v>0</v>
      </c>
      <c r="AP38" s="55"/>
      <c r="AQ38" s="50"/>
      <c r="AR38" s="51" t="n">
        <f aca="false">AP38*AQ38</f>
        <v>0</v>
      </c>
      <c r="AS38" s="8"/>
      <c r="AT38" s="2"/>
      <c r="AU38" s="51" t="n">
        <f aca="false">AS38*AT38</f>
        <v>0</v>
      </c>
      <c r="AV38" s="8"/>
      <c r="AW38" s="2"/>
      <c r="AX38" s="51" t="n">
        <f aca="false">AV38*AW38</f>
        <v>0</v>
      </c>
      <c r="AY38" s="8"/>
      <c r="AZ38" s="2"/>
      <c r="BA38" s="51" t="n">
        <f aca="false">AY38*AZ38</f>
        <v>0</v>
      </c>
    </row>
    <row r="39" customFormat="false" ht="15.75" hidden="false" customHeight="true" outlineLevel="0" collapsed="false">
      <c r="A39" s="8" t="n">
        <v>19</v>
      </c>
      <c r="B39" s="8" t="n">
        <v>29</v>
      </c>
      <c r="C39" s="9" t="s">
        <v>108</v>
      </c>
      <c r="D39" s="8"/>
      <c r="E39" s="2"/>
      <c r="F39" s="9" t="n">
        <f aca="false">D39*E39</f>
        <v>0</v>
      </c>
      <c r="G39" s="8"/>
      <c r="H39" s="2"/>
      <c r="I39" s="2" t="n">
        <f aca="false">G39*H39</f>
        <v>0</v>
      </c>
      <c r="J39" s="8"/>
      <c r="K39" s="2"/>
      <c r="L39" s="60" t="n">
        <f aca="false">J39*K39</f>
        <v>0</v>
      </c>
      <c r="M39" s="8"/>
      <c r="N39" s="2"/>
      <c r="O39" s="9" t="n">
        <f aca="false">M39*N39</f>
        <v>0</v>
      </c>
      <c r="P39" s="52"/>
      <c r="Q39" s="8"/>
      <c r="R39" s="2"/>
      <c r="S39" s="9" t="n">
        <f aca="false">Q39*R39</f>
        <v>0</v>
      </c>
      <c r="T39" s="8"/>
      <c r="U39" s="57"/>
      <c r="V39" s="2"/>
      <c r="W39" s="9" t="n">
        <f aca="false">U39*V39</f>
        <v>0</v>
      </c>
      <c r="X39" s="61"/>
      <c r="Y39" s="8"/>
      <c r="Z39" s="57"/>
      <c r="AA39" s="2"/>
      <c r="AB39" s="51" t="n">
        <f aca="false">Z39*AA39</f>
        <v>0</v>
      </c>
      <c r="AC39" s="54"/>
      <c r="AD39" s="55"/>
      <c r="AE39" s="57"/>
      <c r="AF39" s="2"/>
      <c r="AG39" s="51" t="n">
        <f aca="false">AE39*AF39</f>
        <v>0</v>
      </c>
      <c r="AH39" s="65" t="s">
        <v>107</v>
      </c>
      <c r="AI39" s="57"/>
      <c r="AJ39" s="2"/>
      <c r="AK39" s="51"/>
      <c r="AL39" s="53"/>
      <c r="AM39" s="54"/>
      <c r="AN39" s="54"/>
      <c r="AO39" s="54" t="n">
        <f aca="false">AM39*AN39</f>
        <v>0</v>
      </c>
      <c r="AP39" s="55"/>
      <c r="AQ39" s="50"/>
      <c r="AR39" s="51" t="n">
        <f aca="false">AP39*AQ39</f>
        <v>0</v>
      </c>
      <c r="AS39" s="8"/>
      <c r="AT39" s="2"/>
      <c r="AU39" s="51" t="n">
        <f aca="false">AS39*AT39</f>
        <v>0</v>
      </c>
      <c r="AV39" s="8"/>
      <c r="AW39" s="2"/>
      <c r="AX39" s="51" t="n">
        <f aca="false">AV39*AW39</f>
        <v>0</v>
      </c>
      <c r="AY39" s="8"/>
      <c r="AZ39" s="2"/>
      <c r="BA39" s="51" t="n">
        <f aca="false">AY39*AZ39</f>
        <v>0</v>
      </c>
    </row>
    <row r="40" customFormat="false" ht="15.75" hidden="false" customHeight="true" outlineLevel="0" collapsed="false">
      <c r="A40" s="8" t="n">
        <v>20</v>
      </c>
      <c r="B40" s="8" t="n">
        <v>30</v>
      </c>
      <c r="C40" s="9" t="s">
        <v>109</v>
      </c>
      <c r="D40" s="8"/>
      <c r="E40" s="2"/>
      <c r="F40" s="9" t="n">
        <f aca="false">D40*E40</f>
        <v>0</v>
      </c>
      <c r="G40" s="8"/>
      <c r="H40" s="2"/>
      <c r="I40" s="2" t="n">
        <f aca="false">G40*H40</f>
        <v>0</v>
      </c>
      <c r="J40" s="8"/>
      <c r="K40" s="2"/>
      <c r="L40" s="60" t="n">
        <f aca="false">J40*K40</f>
        <v>0</v>
      </c>
      <c r="M40" s="8"/>
      <c r="N40" s="2"/>
      <c r="O40" s="9" t="n">
        <f aca="false">M40*N40</f>
        <v>0</v>
      </c>
      <c r="P40" s="52"/>
      <c r="Q40" s="8"/>
      <c r="R40" s="2"/>
      <c r="S40" s="9" t="n">
        <f aca="false">Q40*R40</f>
        <v>0</v>
      </c>
      <c r="T40" s="8"/>
      <c r="U40" s="57"/>
      <c r="V40" s="2"/>
      <c r="W40" s="9" t="n">
        <f aca="false">U40*V40</f>
        <v>0</v>
      </c>
      <c r="X40" s="61"/>
      <c r="Y40" s="8"/>
      <c r="Z40" s="57"/>
      <c r="AA40" s="2"/>
      <c r="AB40" s="51" t="n">
        <f aca="false">Z40*AA40</f>
        <v>0</v>
      </c>
      <c r="AC40" s="54"/>
      <c r="AD40" s="55"/>
      <c r="AE40" s="57"/>
      <c r="AF40" s="2"/>
      <c r="AG40" s="51" t="n">
        <f aca="false">AE40*AF40</f>
        <v>0</v>
      </c>
      <c r="AI40" s="57"/>
      <c r="AJ40" s="2"/>
      <c r="AK40" s="51"/>
      <c r="AL40" s="53"/>
      <c r="AM40" s="54"/>
      <c r="AN40" s="54"/>
      <c r="AO40" s="54" t="n">
        <f aca="false">AM40*AN40</f>
        <v>0</v>
      </c>
      <c r="AP40" s="55"/>
      <c r="AQ40" s="50"/>
      <c r="AR40" s="51" t="n">
        <f aca="false">AP40*AQ40</f>
        <v>0</v>
      </c>
      <c r="AS40" s="8"/>
      <c r="AT40" s="2"/>
      <c r="AU40" s="51" t="n">
        <f aca="false">AS40*AT40</f>
        <v>0</v>
      </c>
      <c r="AV40" s="8"/>
      <c r="AW40" s="2"/>
      <c r="AX40" s="51" t="n">
        <f aca="false">AV40*AW40</f>
        <v>0</v>
      </c>
      <c r="AY40" s="8"/>
      <c r="AZ40" s="2"/>
      <c r="BA40" s="51" t="n">
        <f aca="false">AY40*AZ40</f>
        <v>0</v>
      </c>
    </row>
    <row r="41" customFormat="false" ht="15.75" hidden="false" customHeight="true" outlineLevel="0" collapsed="false">
      <c r="A41" s="8"/>
      <c r="B41" s="8" t="n">
        <v>31</v>
      </c>
      <c r="D41" s="8"/>
      <c r="E41" s="2"/>
      <c r="F41" s="9" t="n">
        <f aca="false">D41*E41</f>
        <v>0</v>
      </c>
      <c r="G41" s="8"/>
      <c r="H41" s="2"/>
      <c r="I41" s="2" t="n">
        <f aca="false">G41*H41</f>
        <v>0</v>
      </c>
      <c r="J41" s="8"/>
      <c r="K41" s="2"/>
      <c r="L41" s="60" t="n">
        <f aca="false">J41*K41</f>
        <v>0</v>
      </c>
      <c r="M41" s="8"/>
      <c r="N41" s="2"/>
      <c r="O41" s="9" t="n">
        <f aca="false">M41*N41</f>
        <v>0</v>
      </c>
      <c r="P41" s="52"/>
      <c r="Q41" s="8"/>
      <c r="R41" s="2"/>
      <c r="S41" s="9" t="n">
        <f aca="false">Q41*R41</f>
        <v>0</v>
      </c>
      <c r="T41" s="8"/>
      <c r="U41" s="57"/>
      <c r="V41" s="2"/>
      <c r="W41" s="9" t="n">
        <f aca="false">U41*V41</f>
        <v>0</v>
      </c>
      <c r="X41" s="61"/>
      <c r="Y41" s="8"/>
      <c r="Z41" s="57"/>
      <c r="AA41" s="2"/>
      <c r="AB41" s="51" t="n">
        <f aca="false">Z41*AA41</f>
        <v>0</v>
      </c>
      <c r="AC41" s="54"/>
      <c r="AD41" s="55"/>
      <c r="AE41" s="57"/>
      <c r="AF41" s="2"/>
      <c r="AG41" s="51" t="n">
        <f aca="false">AE41*AF41</f>
        <v>0</v>
      </c>
      <c r="AH41" s="9"/>
      <c r="AI41" s="57"/>
      <c r="AJ41" s="2"/>
      <c r="AK41" s="51"/>
      <c r="AL41" s="54"/>
      <c r="AM41" s="54"/>
      <c r="AN41" s="54"/>
      <c r="AO41" s="54" t="n">
        <f aca="false">AM41*AN41</f>
        <v>0</v>
      </c>
      <c r="AP41" s="8"/>
      <c r="AQ41" s="2"/>
      <c r="AR41" s="51" t="n">
        <f aca="false">AP41*AQ41</f>
        <v>0</v>
      </c>
      <c r="AS41" s="8"/>
      <c r="AT41" s="2"/>
      <c r="AU41" s="51" t="n">
        <f aca="false">AS41*AT41</f>
        <v>0</v>
      </c>
      <c r="AV41" s="8"/>
      <c r="AW41" s="2"/>
      <c r="AX41" s="51" t="n">
        <f aca="false">AV41*AW41</f>
        <v>0</v>
      </c>
      <c r="AY41" s="8"/>
      <c r="AZ41" s="2"/>
      <c r="BA41" s="51" t="n">
        <f aca="false">AY41*AZ41</f>
        <v>0</v>
      </c>
    </row>
    <row r="42" customFormat="false" ht="15.75" hidden="false" customHeight="true" outlineLevel="0" collapsed="false">
      <c r="A42" s="8"/>
      <c r="B42" s="69"/>
      <c r="D42" s="8"/>
      <c r="E42" s="2"/>
      <c r="F42" s="9"/>
      <c r="G42" s="8"/>
      <c r="H42" s="2"/>
      <c r="I42" s="2" t="n">
        <f aca="false">G42*H42</f>
        <v>0</v>
      </c>
      <c r="J42" s="8"/>
      <c r="K42" s="2"/>
      <c r="L42" s="60" t="n">
        <f aca="false">J42*K42</f>
        <v>0</v>
      </c>
      <c r="M42" s="8"/>
      <c r="N42" s="2"/>
      <c r="O42" s="9" t="n">
        <f aca="false">M42*N42</f>
        <v>0</v>
      </c>
      <c r="P42" s="52"/>
      <c r="Q42" s="8"/>
      <c r="R42" s="2"/>
      <c r="S42" s="9" t="n">
        <f aca="false">Q42*R42</f>
        <v>0</v>
      </c>
      <c r="T42" s="8"/>
      <c r="U42" s="57"/>
      <c r="V42" s="2"/>
      <c r="W42" s="9" t="n">
        <f aca="false">U42*V42</f>
        <v>0</v>
      </c>
      <c r="X42" s="61"/>
      <c r="Y42" s="8"/>
      <c r="Z42" s="57"/>
      <c r="AA42" s="2"/>
      <c r="AB42" s="51" t="n">
        <f aca="false">Z42*AA42</f>
        <v>0</v>
      </c>
      <c r="AC42" s="54"/>
      <c r="AD42" s="55"/>
      <c r="AE42" s="57"/>
      <c r="AF42" s="2"/>
      <c r="AG42" s="51" t="n">
        <f aca="false">AE42*AF42</f>
        <v>0</v>
      </c>
      <c r="AH42" s="65"/>
      <c r="AI42" s="57"/>
      <c r="AJ42" s="2"/>
      <c r="AK42" s="51"/>
      <c r="AL42" s="54"/>
      <c r="AM42" s="54"/>
      <c r="AN42" s="54"/>
      <c r="AO42" s="54" t="n">
        <f aca="false">AM42*AN42</f>
        <v>0</v>
      </c>
      <c r="AP42" s="8"/>
      <c r="AQ42" s="2"/>
      <c r="AR42" s="51" t="n">
        <f aca="false">AP42*AQ42</f>
        <v>0</v>
      </c>
      <c r="AS42" s="8"/>
      <c r="AT42" s="2"/>
      <c r="AU42" s="51" t="n">
        <f aca="false">AS42*AT42</f>
        <v>0</v>
      </c>
      <c r="AV42" s="8"/>
      <c r="AW42" s="2"/>
      <c r="AX42" s="51" t="n">
        <f aca="false">AV42*AW42</f>
        <v>0</v>
      </c>
      <c r="AY42" s="8"/>
      <c r="AZ42" s="2"/>
      <c r="BA42" s="51" t="n">
        <f aca="false">AY42*AZ42</f>
        <v>0</v>
      </c>
    </row>
    <row r="43" customFormat="false" ht="15.75" hidden="false" customHeight="true" outlineLevel="0" collapsed="false">
      <c r="A43" s="8"/>
      <c r="B43" s="69"/>
      <c r="D43" s="8"/>
      <c r="E43" s="2"/>
      <c r="F43" s="9" t="n">
        <f aca="false">D43*E43</f>
        <v>0</v>
      </c>
      <c r="G43" s="8"/>
      <c r="H43" s="2"/>
      <c r="I43" s="2" t="n">
        <f aca="false">G43*H43</f>
        <v>0</v>
      </c>
      <c r="J43" s="8"/>
      <c r="K43" s="2"/>
      <c r="L43" s="60" t="n">
        <f aca="false">J43*K43</f>
        <v>0</v>
      </c>
      <c r="M43" s="8"/>
      <c r="N43" s="2"/>
      <c r="O43" s="9" t="n">
        <f aca="false">M43*N43</f>
        <v>0</v>
      </c>
      <c r="P43" s="52"/>
      <c r="Q43" s="8"/>
      <c r="R43" s="2"/>
      <c r="S43" s="9" t="n">
        <f aca="false">Q43*R43</f>
        <v>0</v>
      </c>
      <c r="T43" s="8"/>
      <c r="U43" s="57"/>
      <c r="V43" s="2"/>
      <c r="W43" s="9" t="n">
        <f aca="false">U43*V43</f>
        <v>0</v>
      </c>
      <c r="X43" s="61"/>
      <c r="Y43" s="8"/>
      <c r="Z43" s="57"/>
      <c r="AA43" s="2"/>
      <c r="AB43" s="51" t="n">
        <f aca="false">Z43*AA43</f>
        <v>0</v>
      </c>
      <c r="AC43" s="54"/>
      <c r="AD43" s="55"/>
      <c r="AE43" s="57"/>
      <c r="AF43" s="2"/>
      <c r="AG43" s="51" t="n">
        <f aca="false">AE43*AF43</f>
        <v>0</v>
      </c>
      <c r="AH43" s="53"/>
      <c r="AI43" s="57"/>
      <c r="AJ43" s="2"/>
      <c r="AK43" s="51"/>
      <c r="AL43" s="54"/>
      <c r="AM43" s="54"/>
      <c r="AN43" s="54"/>
      <c r="AO43" s="54" t="n">
        <f aca="false">AM43*AN43</f>
        <v>0</v>
      </c>
      <c r="AP43" s="8"/>
      <c r="AQ43" s="2"/>
      <c r="AR43" s="51" t="n">
        <f aca="false">AP43*AQ43</f>
        <v>0</v>
      </c>
      <c r="AS43" s="8"/>
      <c r="AT43" s="2"/>
      <c r="AU43" s="51" t="n">
        <f aca="false">AS43*AT43</f>
        <v>0</v>
      </c>
      <c r="AV43" s="8"/>
      <c r="AW43" s="2"/>
      <c r="AX43" s="51" t="n">
        <f aca="false">AV43*AW43</f>
        <v>0</v>
      </c>
      <c r="AY43" s="8"/>
      <c r="AZ43" s="2"/>
      <c r="BA43" s="51" t="n">
        <f aca="false">AY43*AZ43</f>
        <v>0</v>
      </c>
    </row>
    <row r="44" customFormat="false" ht="15.75" hidden="false" customHeight="true" outlineLevel="0" collapsed="false">
      <c r="A44" s="8"/>
      <c r="B44" s="69"/>
      <c r="D44" s="8"/>
      <c r="E44" s="2"/>
      <c r="F44" s="9" t="n">
        <f aca="false">D44*E44</f>
        <v>0</v>
      </c>
      <c r="G44" s="8"/>
      <c r="H44" s="2"/>
      <c r="I44" s="2" t="n">
        <f aca="false">G44*H44</f>
        <v>0</v>
      </c>
      <c r="J44" s="8"/>
      <c r="K44" s="2"/>
      <c r="L44" s="60" t="n">
        <f aca="false">J44*K44</f>
        <v>0</v>
      </c>
      <c r="M44" s="8"/>
      <c r="N44" s="2"/>
      <c r="O44" s="9" t="n">
        <f aca="false">M44*N44</f>
        <v>0</v>
      </c>
      <c r="P44" s="52"/>
      <c r="Q44" s="8"/>
      <c r="R44" s="2"/>
      <c r="S44" s="9" t="n">
        <f aca="false">Q44*R44</f>
        <v>0</v>
      </c>
      <c r="T44" s="8"/>
      <c r="U44" s="57"/>
      <c r="V44" s="2"/>
      <c r="W44" s="9" t="n">
        <f aca="false">U44*V44</f>
        <v>0</v>
      </c>
      <c r="X44" s="61"/>
      <c r="Y44" s="8"/>
      <c r="Z44" s="57"/>
      <c r="AA44" s="2"/>
      <c r="AB44" s="51" t="n">
        <f aca="false">Z44*AA44</f>
        <v>0</v>
      </c>
      <c r="AC44" s="54"/>
      <c r="AD44" s="55"/>
      <c r="AE44" s="57"/>
      <c r="AF44" s="2"/>
      <c r="AG44" s="51" t="n">
        <f aca="false">AE44*AF44</f>
        <v>0</v>
      </c>
      <c r="AH44" s="53"/>
      <c r="AI44" s="57"/>
      <c r="AJ44" s="2"/>
      <c r="AK44" s="51"/>
      <c r="AL44" s="54"/>
      <c r="AM44" s="54"/>
      <c r="AN44" s="54"/>
      <c r="AO44" s="54" t="n">
        <f aca="false">AM44*AN44</f>
        <v>0</v>
      </c>
      <c r="AP44" s="8"/>
      <c r="AQ44" s="2"/>
      <c r="AR44" s="51" t="n">
        <f aca="false">AP44*AQ44</f>
        <v>0</v>
      </c>
      <c r="AS44" s="8"/>
      <c r="AT44" s="2"/>
      <c r="AU44" s="51" t="n">
        <f aca="false">AS44*AT44</f>
        <v>0</v>
      </c>
      <c r="AV44" s="8"/>
      <c r="AW44" s="2"/>
      <c r="AX44" s="51" t="n">
        <f aca="false">AV44*AW44</f>
        <v>0</v>
      </c>
      <c r="AY44" s="8"/>
      <c r="AZ44" s="2"/>
      <c r="BA44" s="51" t="n">
        <f aca="false">AY44*AZ44</f>
        <v>0</v>
      </c>
    </row>
    <row r="45" customFormat="false" ht="15.75" hidden="false" customHeight="true" outlineLevel="0" collapsed="false">
      <c r="A45" s="8"/>
      <c r="B45" s="69"/>
      <c r="C45" s="9"/>
      <c r="D45" s="8"/>
      <c r="E45" s="2"/>
      <c r="F45" s="9" t="n">
        <f aca="false">D45*E45</f>
        <v>0</v>
      </c>
      <c r="G45" s="8"/>
      <c r="H45" s="2"/>
      <c r="I45" s="2" t="n">
        <f aca="false">G45*H45</f>
        <v>0</v>
      </c>
      <c r="J45" s="8"/>
      <c r="K45" s="2"/>
      <c r="L45" s="60" t="n">
        <f aca="false">J45*K45</f>
        <v>0</v>
      </c>
      <c r="M45" s="8"/>
      <c r="N45" s="2"/>
      <c r="O45" s="9" t="n">
        <f aca="false">M45*N45</f>
        <v>0</v>
      </c>
      <c r="P45" s="52"/>
      <c r="Q45" s="8"/>
      <c r="R45" s="2"/>
      <c r="S45" s="9" t="n">
        <f aca="false">Q45*R45</f>
        <v>0</v>
      </c>
      <c r="T45" s="8"/>
      <c r="U45" s="57"/>
      <c r="V45" s="2"/>
      <c r="W45" s="9" t="n">
        <f aca="false">U45*V45</f>
        <v>0</v>
      </c>
      <c r="X45" s="61"/>
      <c r="Y45" s="8"/>
      <c r="Z45" s="57"/>
      <c r="AA45" s="2"/>
      <c r="AB45" s="51" t="n">
        <f aca="false">Z45*AA45</f>
        <v>0</v>
      </c>
      <c r="AC45" s="54"/>
      <c r="AD45" s="55"/>
      <c r="AE45" s="57"/>
      <c r="AF45" s="2"/>
      <c r="AG45" s="51" t="n">
        <f aca="false">AE45*AF45</f>
        <v>0</v>
      </c>
      <c r="AH45" s="53"/>
      <c r="AI45" s="57"/>
      <c r="AJ45" s="2"/>
      <c r="AK45" s="51"/>
      <c r="AL45" s="54"/>
      <c r="AM45" s="54"/>
      <c r="AN45" s="54"/>
      <c r="AO45" s="54" t="n">
        <f aca="false">AM45*AN45</f>
        <v>0</v>
      </c>
      <c r="AP45" s="8"/>
      <c r="AQ45" s="2"/>
      <c r="AR45" s="51" t="n">
        <f aca="false">AP45*AQ45</f>
        <v>0</v>
      </c>
      <c r="AS45" s="8"/>
      <c r="AT45" s="2"/>
      <c r="AU45" s="51" t="n">
        <f aca="false">AS45*AT45</f>
        <v>0</v>
      </c>
      <c r="AV45" s="8"/>
      <c r="AW45" s="2"/>
      <c r="AX45" s="51" t="n">
        <f aca="false">AV45*AW45</f>
        <v>0</v>
      </c>
      <c r="AY45" s="8"/>
      <c r="AZ45" s="2"/>
      <c r="BA45" s="51" t="n">
        <f aca="false">AY45*AZ45</f>
        <v>0</v>
      </c>
    </row>
    <row r="46" customFormat="false" ht="15.75" hidden="false" customHeight="true" outlineLevel="0" collapsed="false">
      <c r="A46" s="8"/>
      <c r="B46" s="69"/>
      <c r="C46" s="9"/>
      <c r="D46" s="8"/>
      <c r="E46" s="2"/>
      <c r="F46" s="9" t="n">
        <f aca="false">D46*E46</f>
        <v>0</v>
      </c>
      <c r="G46" s="8"/>
      <c r="H46" s="2"/>
      <c r="I46" s="2" t="n">
        <f aca="false">G46*H46</f>
        <v>0</v>
      </c>
      <c r="J46" s="8"/>
      <c r="K46" s="2"/>
      <c r="L46" s="60" t="n">
        <f aca="false">J46*K46</f>
        <v>0</v>
      </c>
      <c r="M46" s="8"/>
      <c r="N46" s="2"/>
      <c r="O46" s="9" t="n">
        <f aca="false">M46*N46</f>
        <v>0</v>
      </c>
      <c r="P46" s="52"/>
      <c r="Q46" s="8"/>
      <c r="R46" s="2"/>
      <c r="S46" s="9" t="n">
        <f aca="false">Q46*R46</f>
        <v>0</v>
      </c>
      <c r="T46" s="8"/>
      <c r="U46" s="57"/>
      <c r="V46" s="2"/>
      <c r="W46" s="9" t="n">
        <f aca="false">U46*V46</f>
        <v>0</v>
      </c>
      <c r="X46" s="61"/>
      <c r="Y46" s="8"/>
      <c r="Z46" s="57"/>
      <c r="AA46" s="2"/>
      <c r="AB46" s="51" t="n">
        <f aca="false">Z46*AA46</f>
        <v>0</v>
      </c>
      <c r="AC46" s="54"/>
      <c r="AD46" s="55"/>
      <c r="AE46" s="57"/>
      <c r="AF46" s="2"/>
      <c r="AG46" s="51" t="n">
        <f aca="false">AE46*AF46</f>
        <v>0</v>
      </c>
      <c r="AH46" s="53"/>
      <c r="AI46" s="57"/>
      <c r="AJ46" s="2"/>
      <c r="AK46" s="51"/>
      <c r="AL46" s="54"/>
      <c r="AM46" s="54"/>
      <c r="AN46" s="54"/>
      <c r="AO46" s="54" t="n">
        <f aca="false">AM46*AN46</f>
        <v>0</v>
      </c>
      <c r="AP46" s="8"/>
      <c r="AQ46" s="2"/>
      <c r="AR46" s="51" t="n">
        <f aca="false">AP46*AQ46</f>
        <v>0</v>
      </c>
      <c r="AS46" s="8"/>
      <c r="AT46" s="2"/>
      <c r="AU46" s="51" t="n">
        <f aca="false">AS46*AT46</f>
        <v>0</v>
      </c>
      <c r="AV46" s="8"/>
      <c r="AW46" s="2"/>
      <c r="AX46" s="51" t="n">
        <f aca="false">AV46*AW46</f>
        <v>0</v>
      </c>
      <c r="AY46" s="8"/>
      <c r="AZ46" s="2"/>
      <c r="BA46" s="51" t="n">
        <f aca="false">AY46*AZ46</f>
        <v>0</v>
      </c>
    </row>
    <row r="47" customFormat="false" ht="15.75" hidden="false" customHeight="true" outlineLevel="0" collapsed="false">
      <c r="A47" s="8"/>
      <c r="B47" s="69"/>
      <c r="C47" s="9"/>
      <c r="D47" s="8"/>
      <c r="E47" s="2"/>
      <c r="F47" s="9" t="n">
        <f aca="false">D47*E47</f>
        <v>0</v>
      </c>
      <c r="G47" s="8"/>
      <c r="H47" s="2"/>
      <c r="I47" s="2" t="n">
        <f aca="false">G47*H47</f>
        <v>0</v>
      </c>
      <c r="J47" s="8"/>
      <c r="K47" s="2"/>
      <c r="L47" s="60" t="n">
        <f aca="false">J47*K47</f>
        <v>0</v>
      </c>
      <c r="M47" s="8"/>
      <c r="N47" s="2"/>
      <c r="O47" s="9" t="n">
        <f aca="false">M47*N47</f>
        <v>0</v>
      </c>
      <c r="P47" s="52"/>
      <c r="Q47" s="8"/>
      <c r="R47" s="2"/>
      <c r="S47" s="9" t="n">
        <f aca="false">Q47*R47</f>
        <v>0</v>
      </c>
      <c r="T47" s="8"/>
      <c r="U47" s="57"/>
      <c r="V47" s="2"/>
      <c r="W47" s="9" t="n">
        <f aca="false">U47*V47</f>
        <v>0</v>
      </c>
      <c r="X47" s="61"/>
      <c r="Y47" s="8"/>
      <c r="Z47" s="57"/>
      <c r="AA47" s="2"/>
      <c r="AB47" s="51" t="n">
        <f aca="false">Z47*AA47</f>
        <v>0</v>
      </c>
      <c r="AC47" s="54"/>
      <c r="AD47" s="55"/>
      <c r="AE47" s="57"/>
      <c r="AF47" s="2"/>
      <c r="AG47" s="51" t="n">
        <f aca="false">AE47*AF47</f>
        <v>0</v>
      </c>
      <c r="AH47" s="53"/>
      <c r="AI47" s="57"/>
      <c r="AJ47" s="2"/>
      <c r="AK47" s="51" t="n">
        <f aca="false">AI47*AJ47</f>
        <v>0</v>
      </c>
      <c r="AL47" s="54"/>
      <c r="AM47" s="54"/>
      <c r="AN47" s="54"/>
      <c r="AO47" s="54" t="n">
        <f aca="false">AM47*AN47</f>
        <v>0</v>
      </c>
      <c r="AP47" s="8"/>
      <c r="AQ47" s="2"/>
      <c r="AR47" s="51" t="n">
        <f aca="false">AP47*AQ47</f>
        <v>0</v>
      </c>
      <c r="AS47" s="8"/>
      <c r="AT47" s="2"/>
      <c r="AU47" s="51" t="n">
        <f aca="false">AS47*AT47</f>
        <v>0</v>
      </c>
      <c r="AV47" s="8"/>
      <c r="AW47" s="2"/>
      <c r="AX47" s="51" t="n">
        <f aca="false">AV47*AW47</f>
        <v>0</v>
      </c>
      <c r="AY47" s="8"/>
      <c r="AZ47" s="2"/>
      <c r="BA47" s="51" t="n">
        <f aca="false">AY47*AZ47</f>
        <v>0</v>
      </c>
    </row>
    <row r="48" customFormat="false" ht="15.75" hidden="false" customHeight="true" outlineLevel="0" collapsed="false">
      <c r="A48" s="11"/>
      <c r="B48" s="69"/>
      <c r="C48" s="70"/>
      <c r="D48" s="11"/>
      <c r="E48" s="71"/>
      <c r="F48" s="71" t="n">
        <f aca="false">D48*E48</f>
        <v>0</v>
      </c>
      <c r="G48" s="11"/>
      <c r="H48" s="71"/>
      <c r="I48" s="71" t="n">
        <f aca="false">G48*H48</f>
        <v>0</v>
      </c>
      <c r="J48" s="11"/>
      <c r="K48" s="71"/>
      <c r="L48" s="71" t="n">
        <f aca="false">J48*K48</f>
        <v>0</v>
      </c>
      <c r="M48" s="11"/>
      <c r="N48" s="71"/>
      <c r="O48" s="71" t="n">
        <f aca="false">M48*N48</f>
        <v>0</v>
      </c>
      <c r="P48" s="72"/>
      <c r="Q48" s="11"/>
      <c r="R48" s="71"/>
      <c r="S48" s="70" t="n">
        <f aca="false">Q48*R48</f>
        <v>0</v>
      </c>
      <c r="T48" s="11"/>
      <c r="U48" s="73"/>
      <c r="V48" s="71"/>
      <c r="W48" s="71" t="n">
        <f aca="false">U48*V48</f>
        <v>0</v>
      </c>
      <c r="X48" s="74"/>
      <c r="Y48" s="11"/>
      <c r="Z48" s="73"/>
      <c r="AA48" s="71"/>
      <c r="AB48" s="71" t="n">
        <f aca="false">Z48*AA48</f>
        <v>0</v>
      </c>
      <c r="AC48" s="74"/>
      <c r="AD48" s="11"/>
      <c r="AE48" s="73"/>
      <c r="AF48" s="71"/>
      <c r="AG48" s="71" t="n">
        <f aca="false">AE48*AF48</f>
        <v>0</v>
      </c>
      <c r="AH48" s="73"/>
      <c r="AI48" s="73"/>
      <c r="AJ48" s="71"/>
      <c r="AK48" s="71" t="n">
        <f aca="false">AI48*AJ48</f>
        <v>0</v>
      </c>
      <c r="AL48" s="73"/>
      <c r="AM48" s="73"/>
      <c r="AN48" s="73"/>
      <c r="AO48" s="54" t="n">
        <f aca="false">AM48*AN48</f>
        <v>0</v>
      </c>
      <c r="AP48" s="11"/>
      <c r="AQ48" s="71"/>
      <c r="AR48" s="71" t="n">
        <f aca="false">AP48*AQ48</f>
        <v>0</v>
      </c>
      <c r="AS48" s="11"/>
      <c r="AT48" s="71"/>
      <c r="AU48" s="71" t="n">
        <f aca="false">AS48*AT48</f>
        <v>0</v>
      </c>
      <c r="AV48" s="11"/>
      <c r="AW48" s="71"/>
      <c r="AX48" s="71" t="n">
        <f aca="false">AV48*AW48</f>
        <v>0</v>
      </c>
      <c r="AY48" s="11"/>
      <c r="AZ48" s="71"/>
      <c r="BA48" s="71" t="n">
        <f aca="false">AY48*AZ48</f>
        <v>0</v>
      </c>
    </row>
    <row r="49" customFormat="false" ht="15.75" hidden="false" customHeight="true" outlineLevel="0" collapsed="false">
      <c r="F49" s="75" t="n">
        <f aca="false">SUM(F20:F48)</f>
        <v>0</v>
      </c>
      <c r="I49" s="75" t="n">
        <f aca="false">SUM(I20:I48)</f>
        <v>180000</v>
      </c>
      <c r="L49" s="75" t="n">
        <f aca="false">SUM(L20:L48)</f>
        <v>540000</v>
      </c>
      <c r="O49" s="75" t="n">
        <f aca="false">SUM(O20:O48)</f>
        <v>4802000</v>
      </c>
      <c r="P49" s="19" t="n">
        <f aca="false">SUM(P20:P48)</f>
        <v>4200</v>
      </c>
      <c r="S49" s="65" t="n">
        <f aca="false">SUM(S20:S48)</f>
        <v>3850000</v>
      </c>
      <c r="T49" s="14"/>
      <c r="W49" s="75" t="n">
        <f aca="false">SUM(W20:W48)</f>
        <v>870000</v>
      </c>
      <c r="X49" s="14" t="n">
        <f aca="false">SUM(X20:X48)</f>
        <v>350000</v>
      </c>
      <c r="Y49" s="14"/>
      <c r="AB49" s="75" t="n">
        <f aca="false">SUM(AB20:AB48)</f>
        <v>735000</v>
      </c>
      <c r="AC49" s="14" t="n">
        <f aca="false">SUM(AC20:AC48)</f>
        <v>720000</v>
      </c>
      <c r="AD49" s="67"/>
      <c r="AG49" s="75" t="n">
        <f aca="false">SUM(AG20:AG48)</f>
        <v>250000</v>
      </c>
      <c r="AH49" s="14"/>
      <c r="AK49" s="75" t="n">
        <f aca="false">SUM(AK20:AK48)</f>
        <v>11782400</v>
      </c>
      <c r="AL49" s="14"/>
      <c r="AM49" s="14"/>
      <c r="AN49" s="14"/>
      <c r="AO49" s="14" t="n">
        <f aca="false">SUM(AO20:AO48)</f>
        <v>0</v>
      </c>
      <c r="AR49" s="75" t="n">
        <f aca="false">SUM(AR20:AR48)</f>
        <v>100000</v>
      </c>
      <c r="AU49" s="75" t="n">
        <f aca="false">SUM(AU20:AU47)</f>
        <v>0</v>
      </c>
      <c r="AX49" s="75" t="n">
        <f aca="false">SUM(AX20:AX48)</f>
        <v>0</v>
      </c>
      <c r="BA49" s="76" t="n">
        <f aca="false">SUM(BA20:BA48)</f>
        <v>0</v>
      </c>
    </row>
    <row r="50" customFormat="false" ht="15.75" hidden="false" customHeight="true" outlineLevel="0" collapsed="false"/>
    <row r="51" customFormat="false" ht="15.75" hidden="false" customHeight="true" outlineLevel="0" collapsed="false">
      <c r="O51" s="0" t="n">
        <v>100</v>
      </c>
      <c r="P51" s="0" t="n">
        <v>17</v>
      </c>
    </row>
    <row r="52" customFormat="false" ht="15.75" hidden="false" customHeight="true" outlineLevel="0" collapsed="false">
      <c r="O52" s="0" t="n">
        <f aca="false">P49</f>
        <v>4200</v>
      </c>
    </row>
    <row r="53" customFormat="false" ht="15.75" hidden="false" customHeight="true" outlineLevel="0" collapsed="false">
      <c r="O53" s="0" t="n">
        <f aca="false">O52*P51/O51</f>
        <v>714</v>
      </c>
    </row>
    <row r="54" customFormat="false" ht="15.75" hidden="false" customHeight="true" outlineLevel="0" collapsed="false">
      <c r="O54" s="0" t="n">
        <v>5200</v>
      </c>
      <c r="P54" s="0" t="n">
        <f aca="false">O54*O53</f>
        <v>3712800</v>
      </c>
    </row>
    <row r="55" customFormat="false" ht="15.75" hidden="false" customHeight="true" outlineLevel="0" collapsed="false"/>
    <row r="56" customFormat="false" ht="15.75" hidden="false" customHeight="true" outlineLevel="0" collapsed="false"/>
    <row r="57" customFormat="false" ht="15.75" hidden="false" customHeight="true" outlineLevel="0" collapsed="false"/>
    <row r="58" customFormat="false" ht="15.75" hidden="false" customHeight="true" outlineLevel="0" collapsed="false"/>
    <row r="59" customFormat="false" ht="15.75" hidden="false" customHeight="true" outlineLevel="0" collapsed="false"/>
    <row r="60" customFormat="false" ht="15.75" hidden="false" customHeight="true" outlineLevel="0" collapsed="false"/>
    <row r="61" customFormat="false" ht="15.75" hidden="false" customHeight="true" outlineLevel="0" collapsed="false"/>
    <row r="62" customFormat="false" ht="15.75" hidden="false" customHeight="true" outlineLevel="0" collapsed="false"/>
    <row r="63" customFormat="false" ht="15.75" hidden="false" customHeight="true" outlineLevel="0" collapsed="false"/>
    <row r="64" customFormat="false" ht="15.75" hidden="false" customHeight="true" outlineLevel="0" collapsed="false"/>
    <row r="65" customFormat="false" ht="15.75" hidden="false" customHeight="true" outlineLevel="0" collapsed="false"/>
    <row r="66" customFormat="false" ht="15.75" hidden="false" customHeight="true" outlineLevel="0" collapsed="false"/>
    <row r="67" customFormat="false" ht="15.75" hidden="false" customHeight="true" outlineLevel="0" collapsed="false"/>
    <row r="68" customFormat="false" ht="15.75" hidden="false" customHeight="true" outlineLevel="0" collapsed="false"/>
    <row r="69" customFormat="false" ht="15.75" hidden="false" customHeight="true" outlineLevel="0" collapsed="false"/>
    <row r="70" customFormat="false" ht="15.75" hidden="false" customHeight="true" outlineLevel="0" collapsed="false"/>
    <row r="71" customFormat="false" ht="15.75" hidden="false" customHeight="true" outlineLevel="0" collapsed="false"/>
    <row r="72" customFormat="false" ht="15.75" hidden="false" customHeight="true" outlineLevel="0" collapsed="false"/>
    <row r="73" customFormat="false" ht="15.75" hidden="false" customHeight="true" outlineLevel="0" collapsed="false"/>
    <row r="74" customFormat="false" ht="15.75" hidden="false" customHeight="true" outlineLevel="0" collapsed="false"/>
    <row r="75" customFormat="false" ht="15.75" hidden="false" customHeight="true" outlineLevel="0" collapsed="false"/>
    <row r="76" customFormat="false" ht="15.75" hidden="false" customHeight="true" outlineLevel="0" collapsed="false"/>
    <row r="77" customFormat="false" ht="15.75" hidden="false" customHeight="true" outlineLevel="0" collapsed="false"/>
    <row r="78" customFormat="false" ht="15.75" hidden="false" customHeight="true" outlineLevel="0" collapsed="false"/>
    <row r="79" customFormat="false" ht="15.75" hidden="false" customHeight="true" outlineLevel="0" collapsed="false"/>
    <row r="80" customFormat="false" ht="15.75" hidden="false" customHeight="true" outlineLevel="0" collapsed="false"/>
    <row r="81" customFormat="false" ht="15.75" hidden="false" customHeight="true" outlineLevel="0" collapsed="false"/>
    <row r="82" customFormat="false" ht="15.75" hidden="false" customHeight="true" outlineLevel="0" collapsed="false"/>
    <row r="83" customFormat="false" ht="15.75" hidden="false" customHeight="true" outlineLevel="0" collapsed="false"/>
    <row r="84" customFormat="false" ht="15.75" hidden="false" customHeight="true" outlineLevel="0" collapsed="false"/>
    <row r="85" customFormat="false" ht="15.75" hidden="false" customHeight="true" outlineLevel="0" collapsed="false"/>
    <row r="86" customFormat="false" ht="15.75" hidden="false" customHeight="true" outlineLevel="0" collapsed="false"/>
    <row r="87" customFormat="false" ht="15.75" hidden="false" customHeight="true" outlineLevel="0" collapsed="false"/>
    <row r="88" customFormat="false" ht="15.75" hidden="false" customHeight="true" outlineLevel="0" collapsed="false"/>
    <row r="89" customFormat="false" ht="15.75" hidden="false" customHeight="true" outlineLevel="0" collapsed="false"/>
    <row r="90" customFormat="false" ht="15.75" hidden="false" customHeight="true" outlineLevel="0" collapsed="false"/>
    <row r="91" customFormat="false" ht="15.75" hidden="false" customHeight="true" outlineLevel="0" collapsed="false"/>
    <row r="92" customFormat="false" ht="15.75" hidden="false" customHeight="true" outlineLevel="0" collapsed="false"/>
    <row r="93" customFormat="false" ht="15.75" hidden="false" customHeight="true" outlineLevel="0" collapsed="false"/>
    <row r="94" customFormat="false" ht="15.75" hidden="false" customHeight="true" outlineLevel="0" collapsed="false"/>
    <row r="95" customFormat="false" ht="15.75" hidden="false" customHeight="true" outlineLevel="0" collapsed="false"/>
    <row r="96" customFormat="false" ht="15.75" hidden="false" customHeight="true" outlineLevel="0" collapsed="false"/>
    <row r="97" customFormat="false" ht="15.75" hidden="false" customHeight="true" outlineLevel="0" collapsed="false"/>
    <row r="98" customFormat="false" ht="15.75" hidden="false" customHeight="true" outlineLevel="0" collapsed="false"/>
    <row r="99" customFormat="false" ht="15.75" hidden="false" customHeight="true" outlineLevel="0" collapsed="false"/>
    <row r="100" customFormat="false" ht="15.75" hidden="false" customHeight="true" outlineLevel="0" collapsed="false"/>
    <row r="101" customFormat="false" ht="15.75" hidden="false" customHeight="true" outlineLevel="0" collapsed="false"/>
    <row r="102" customFormat="false" ht="15.75" hidden="false" customHeight="true" outlineLevel="0" collapsed="false"/>
    <row r="103" customFormat="false" ht="15.75" hidden="false" customHeight="true" outlineLevel="0" collapsed="false"/>
    <row r="104" customFormat="false" ht="15.75" hidden="false" customHeight="true" outlineLevel="0" collapsed="false"/>
    <row r="105" customFormat="false" ht="15.75" hidden="false" customHeight="true" outlineLevel="0" collapsed="false"/>
    <row r="106" customFormat="false" ht="15.75" hidden="false" customHeight="true" outlineLevel="0" collapsed="false"/>
    <row r="107" customFormat="false" ht="15.75" hidden="false" customHeight="true" outlineLevel="0" collapsed="false"/>
    <row r="108" customFormat="false" ht="15.75" hidden="false" customHeight="true" outlineLevel="0" collapsed="false"/>
    <row r="109" customFormat="false" ht="15.75" hidden="false" customHeight="true" outlineLevel="0" collapsed="false"/>
    <row r="110" customFormat="false" ht="15.75" hidden="false" customHeight="true" outlineLevel="0" collapsed="false"/>
    <row r="111" customFormat="false" ht="15.75" hidden="false" customHeight="true" outlineLevel="0" collapsed="false"/>
    <row r="112" customFormat="false" ht="15.75" hidden="false" customHeight="true" outlineLevel="0" collapsed="false"/>
    <row r="113" customFormat="false" ht="15.75" hidden="false" customHeight="true" outlineLevel="0" collapsed="false"/>
    <row r="114" customFormat="false" ht="15.75" hidden="false" customHeight="true" outlineLevel="0" collapsed="false"/>
    <row r="115" customFormat="false" ht="15.75" hidden="false" customHeight="true" outlineLevel="0" collapsed="false"/>
    <row r="116" customFormat="false" ht="15.75" hidden="false" customHeight="true" outlineLevel="0" collapsed="false"/>
    <row r="117" customFormat="false" ht="15.75" hidden="false" customHeight="true" outlineLevel="0" collapsed="false"/>
    <row r="118" customFormat="false" ht="15.75" hidden="false" customHeight="true" outlineLevel="0" collapsed="false"/>
    <row r="119" customFormat="false" ht="15.75" hidden="false" customHeight="true" outlineLevel="0" collapsed="false"/>
    <row r="120" customFormat="false" ht="15.75" hidden="false" customHeight="true" outlineLevel="0" collapsed="false"/>
    <row r="121" customFormat="false" ht="15.75" hidden="false" customHeight="true" outlineLevel="0" collapsed="false"/>
    <row r="122" customFormat="false" ht="15.75" hidden="false" customHeight="true" outlineLevel="0" collapsed="false"/>
    <row r="123" customFormat="false" ht="15.75" hidden="false" customHeight="true" outlineLevel="0" collapsed="false"/>
    <row r="124" customFormat="false" ht="15.75" hidden="false" customHeight="true" outlineLevel="0" collapsed="false"/>
    <row r="125" customFormat="false" ht="15.75" hidden="false" customHeight="true" outlineLevel="0" collapsed="false"/>
    <row r="126" customFormat="false" ht="15.75" hidden="false" customHeight="true" outlineLevel="0" collapsed="false"/>
    <row r="127" customFormat="false" ht="15.75" hidden="false" customHeight="true" outlineLevel="0" collapsed="false"/>
    <row r="128" customFormat="false" ht="15.75" hidden="false" customHeight="true" outlineLevel="0" collapsed="false"/>
    <row r="129" customFormat="false" ht="15.75" hidden="false" customHeight="true" outlineLevel="0" collapsed="false"/>
    <row r="130" customFormat="false" ht="15.75" hidden="false" customHeight="true" outlineLevel="0" collapsed="false"/>
    <row r="131" customFormat="false" ht="15.75" hidden="false" customHeight="true" outlineLevel="0" collapsed="false"/>
    <row r="132" customFormat="false" ht="15.75" hidden="false" customHeight="true" outlineLevel="0" collapsed="false"/>
    <row r="133" customFormat="false" ht="15.75" hidden="false" customHeight="true" outlineLevel="0" collapsed="false"/>
    <row r="134" customFormat="false" ht="15.75" hidden="false" customHeight="true" outlineLevel="0" collapsed="false"/>
    <row r="135" customFormat="false" ht="15.75" hidden="false" customHeight="true" outlineLevel="0" collapsed="false"/>
    <row r="136" customFormat="false" ht="15.75" hidden="false" customHeight="true" outlineLevel="0" collapsed="false"/>
    <row r="137" customFormat="false" ht="15.75" hidden="false" customHeight="true" outlineLevel="0" collapsed="false"/>
    <row r="138" customFormat="false" ht="15.75" hidden="false" customHeight="true" outlineLevel="0" collapsed="false"/>
    <row r="139" customFormat="false" ht="15.75" hidden="false" customHeight="true" outlineLevel="0" collapsed="false"/>
    <row r="140" customFormat="false" ht="15.75" hidden="false" customHeight="true" outlineLevel="0" collapsed="false"/>
    <row r="141" customFormat="false" ht="15.75" hidden="false" customHeight="true" outlineLevel="0" collapsed="false"/>
    <row r="142" customFormat="false" ht="15.75" hidden="false" customHeight="true" outlineLevel="0" collapsed="false"/>
    <row r="143" customFormat="false" ht="15.75" hidden="false" customHeight="true" outlineLevel="0" collapsed="false"/>
    <row r="144" customFormat="false" ht="15.75" hidden="false" customHeight="true" outlineLevel="0" collapsed="false"/>
    <row r="145" customFormat="false" ht="15.75" hidden="false" customHeight="true" outlineLevel="0" collapsed="false"/>
    <row r="146" customFormat="false" ht="15.75" hidden="false" customHeight="true" outlineLevel="0" collapsed="false"/>
    <row r="147" customFormat="false" ht="15.75" hidden="false" customHeight="true" outlineLevel="0" collapsed="false"/>
    <row r="148" customFormat="false" ht="15.75" hidden="false" customHeight="true" outlineLevel="0" collapsed="false"/>
    <row r="149" customFormat="false" ht="15.75" hidden="false" customHeight="true" outlineLevel="0" collapsed="false"/>
    <row r="150" customFormat="false" ht="15.75" hidden="false" customHeight="true" outlineLevel="0" collapsed="false"/>
    <row r="151" customFormat="false" ht="15.75" hidden="false" customHeight="true" outlineLevel="0" collapsed="false"/>
    <row r="152" customFormat="false" ht="15.75" hidden="false" customHeight="true" outlineLevel="0" collapsed="false"/>
    <row r="153" customFormat="false" ht="15.75" hidden="false" customHeight="true" outlineLevel="0" collapsed="false"/>
    <row r="154" customFormat="false" ht="15.75" hidden="false" customHeight="true" outlineLevel="0" collapsed="false"/>
    <row r="155" customFormat="false" ht="15.75" hidden="false" customHeight="true" outlineLevel="0" collapsed="false"/>
    <row r="156" customFormat="false" ht="15.75" hidden="false" customHeight="true" outlineLevel="0" collapsed="false"/>
    <row r="157" customFormat="false" ht="15.75" hidden="false" customHeight="true" outlineLevel="0" collapsed="false"/>
    <row r="158" customFormat="false" ht="15.75" hidden="false" customHeight="true" outlineLevel="0" collapsed="false"/>
    <row r="159" customFormat="false" ht="15.75" hidden="false" customHeight="true" outlineLevel="0" collapsed="false"/>
    <row r="160" customFormat="false" ht="15.75" hidden="false" customHeight="true" outlineLevel="0" collapsed="false"/>
    <row r="161" customFormat="false" ht="15.75" hidden="false" customHeight="true" outlineLevel="0" collapsed="false"/>
    <row r="162" customFormat="false" ht="15.75" hidden="false" customHeight="true" outlineLevel="0" collapsed="false"/>
    <row r="163" customFormat="false" ht="15.75" hidden="false" customHeight="true" outlineLevel="0" collapsed="false"/>
    <row r="164" customFormat="false" ht="15.75" hidden="false" customHeight="true" outlineLevel="0" collapsed="false"/>
    <row r="165" customFormat="false" ht="15.75" hidden="false" customHeight="true" outlineLevel="0" collapsed="false"/>
    <row r="166" customFormat="false" ht="15.75" hidden="false" customHeight="true" outlineLevel="0" collapsed="false"/>
    <row r="167" customFormat="false" ht="15.75" hidden="false" customHeight="true" outlineLevel="0" collapsed="false"/>
    <row r="168" customFormat="false" ht="15.75" hidden="false" customHeight="true" outlineLevel="0" collapsed="false"/>
    <row r="169" customFormat="false" ht="15.75" hidden="false" customHeight="true" outlineLevel="0" collapsed="false"/>
    <row r="170" customFormat="false" ht="15.75" hidden="false" customHeight="true" outlineLevel="0" collapsed="false"/>
    <row r="171" customFormat="false" ht="15.75" hidden="false" customHeight="true" outlineLevel="0" collapsed="false"/>
    <row r="172" customFormat="false" ht="15.75" hidden="false" customHeight="true" outlineLevel="0" collapsed="false"/>
    <row r="173" customFormat="false" ht="15.75" hidden="false" customHeight="true" outlineLevel="0" collapsed="false"/>
    <row r="174" customFormat="false" ht="15.75" hidden="false" customHeight="true" outlineLevel="0" collapsed="false"/>
    <row r="175" customFormat="false" ht="15.75" hidden="false" customHeight="true" outlineLevel="0" collapsed="false"/>
    <row r="176" customFormat="false" ht="15.75" hidden="false" customHeight="true" outlineLevel="0" collapsed="false"/>
    <row r="177" customFormat="false" ht="15.75" hidden="false" customHeight="true" outlineLevel="0" collapsed="false"/>
    <row r="178" customFormat="false" ht="15.75" hidden="false" customHeight="true" outlineLevel="0" collapsed="false"/>
    <row r="179" customFormat="false" ht="15.75" hidden="false" customHeight="true" outlineLevel="0" collapsed="false"/>
    <row r="180" customFormat="false" ht="15.75" hidden="false" customHeight="true" outlineLevel="0" collapsed="false"/>
    <row r="181" customFormat="false" ht="15.75" hidden="false" customHeight="true" outlineLevel="0" collapsed="false"/>
    <row r="182" customFormat="false" ht="15.75" hidden="false" customHeight="true" outlineLevel="0" collapsed="false"/>
    <row r="183" customFormat="false" ht="15.75" hidden="false" customHeight="true" outlineLevel="0" collapsed="false"/>
    <row r="184" customFormat="false" ht="15.75" hidden="false" customHeight="true" outlineLevel="0" collapsed="false"/>
    <row r="185" customFormat="false" ht="15.75" hidden="false" customHeight="true" outlineLevel="0" collapsed="false"/>
    <row r="186" customFormat="false" ht="15.75" hidden="false" customHeight="true" outlineLevel="0" collapsed="false"/>
    <row r="187" customFormat="false" ht="15.75" hidden="false" customHeight="true" outlineLevel="0" collapsed="false"/>
    <row r="188" customFormat="false" ht="15.75" hidden="false" customHeight="true" outlineLevel="0" collapsed="false"/>
    <row r="189" customFormat="false" ht="15.75" hidden="false" customHeight="true" outlineLevel="0" collapsed="false"/>
    <row r="190" customFormat="false" ht="15.75" hidden="false" customHeight="true" outlineLevel="0" collapsed="false"/>
    <row r="191" customFormat="false" ht="15.75" hidden="false" customHeight="true" outlineLevel="0" collapsed="false"/>
    <row r="192" customFormat="false" ht="15.75" hidden="false" customHeight="true" outlineLevel="0" collapsed="false"/>
    <row r="193" customFormat="false" ht="15.75" hidden="false" customHeight="true" outlineLevel="0" collapsed="false"/>
    <row r="194" customFormat="false" ht="15.75" hidden="false" customHeight="true" outlineLevel="0" collapsed="false"/>
    <row r="195" customFormat="false" ht="15.75" hidden="false" customHeight="true" outlineLevel="0" collapsed="false"/>
    <row r="196" customFormat="false" ht="15.75" hidden="false" customHeight="true" outlineLevel="0" collapsed="false"/>
    <row r="197" customFormat="false" ht="15.75" hidden="false" customHeight="true" outlineLevel="0" collapsed="false"/>
    <row r="198" customFormat="false" ht="15.75" hidden="false" customHeight="true" outlineLevel="0" collapsed="false"/>
    <row r="199" customFormat="false" ht="15.75" hidden="false" customHeight="true" outlineLevel="0" collapsed="false"/>
    <row r="200" customFormat="false" ht="15.75" hidden="false" customHeight="true" outlineLevel="0" collapsed="false"/>
    <row r="201" customFormat="false" ht="15.75" hidden="false" customHeight="true" outlineLevel="0" collapsed="false"/>
    <row r="202" customFormat="false" ht="15.75" hidden="false" customHeight="true" outlineLevel="0" collapsed="false"/>
    <row r="203" customFormat="false" ht="15.75" hidden="false" customHeight="true" outlineLevel="0" collapsed="false"/>
    <row r="204" customFormat="false" ht="15.75" hidden="false" customHeight="true" outlineLevel="0" collapsed="false"/>
    <row r="205" customFormat="false" ht="15.75" hidden="false" customHeight="true" outlineLevel="0" collapsed="false"/>
    <row r="206" customFormat="false" ht="15.75" hidden="false" customHeight="true" outlineLevel="0" collapsed="false"/>
    <row r="207" customFormat="false" ht="15.75" hidden="false" customHeight="true" outlineLevel="0" collapsed="false"/>
    <row r="208" customFormat="false" ht="15.75" hidden="false" customHeight="true" outlineLevel="0" collapsed="false"/>
    <row r="209" customFormat="false" ht="15.75" hidden="false" customHeight="true" outlineLevel="0" collapsed="false"/>
    <row r="210" customFormat="false" ht="15.75" hidden="false" customHeight="true" outlineLevel="0" collapsed="false"/>
    <row r="211" customFormat="false" ht="15.75" hidden="false" customHeight="true" outlineLevel="0" collapsed="false"/>
    <row r="212" customFormat="false" ht="15.75" hidden="false" customHeight="true" outlineLevel="0" collapsed="false"/>
    <row r="213" customFormat="false" ht="15.75" hidden="false" customHeight="true" outlineLevel="0" collapsed="false"/>
    <row r="214" customFormat="false" ht="15.75" hidden="false" customHeight="true" outlineLevel="0" collapsed="false"/>
    <row r="215" customFormat="false" ht="15.75" hidden="false" customHeight="true" outlineLevel="0" collapsed="false"/>
    <row r="216" customFormat="false" ht="15.75" hidden="false" customHeight="true" outlineLevel="0" collapsed="false"/>
    <row r="217" customFormat="false" ht="15.75" hidden="false" customHeight="true" outlineLevel="0" collapsed="false"/>
    <row r="218" customFormat="false" ht="15.75" hidden="false" customHeight="true" outlineLevel="0" collapsed="false"/>
    <row r="219" customFormat="false" ht="15.75" hidden="false" customHeight="true" outlineLevel="0" collapsed="false"/>
    <row r="220" customFormat="false" ht="15.75" hidden="false" customHeight="true" outlineLevel="0" collapsed="false"/>
    <row r="221" customFormat="false" ht="15.75" hidden="false" customHeight="true" outlineLevel="0" collapsed="false"/>
    <row r="222" customFormat="false" ht="15.75" hidden="false" customHeight="true" outlineLevel="0" collapsed="false"/>
    <row r="223" customFormat="false" ht="15.75" hidden="false" customHeight="true" outlineLevel="0" collapsed="false"/>
    <row r="224" customFormat="false" ht="15.75" hidden="false" customHeight="true" outlineLevel="0" collapsed="false"/>
    <row r="225" customFormat="false" ht="15.75" hidden="false" customHeight="true" outlineLevel="0" collapsed="false"/>
    <row r="226" customFormat="false" ht="15.75" hidden="false" customHeight="true" outlineLevel="0" collapsed="false"/>
    <row r="227" customFormat="false" ht="15.75" hidden="false" customHeight="true" outlineLevel="0" collapsed="false"/>
    <row r="228" customFormat="false" ht="15.75" hidden="false" customHeight="true" outlineLevel="0" collapsed="false"/>
    <row r="229" customFormat="false" ht="15.75" hidden="false" customHeight="true" outlineLevel="0" collapsed="false"/>
    <row r="230" customFormat="false" ht="15.75" hidden="false" customHeight="true" outlineLevel="0" collapsed="false"/>
    <row r="231" customFormat="false" ht="15.75" hidden="false" customHeight="true" outlineLevel="0" collapsed="false"/>
    <row r="232" customFormat="false" ht="15.75" hidden="false" customHeight="true" outlineLevel="0" collapsed="false"/>
    <row r="233" customFormat="false" ht="15.75" hidden="false" customHeight="true" outlineLevel="0" collapsed="false"/>
    <row r="234" customFormat="false" ht="15.75" hidden="false" customHeight="true" outlineLevel="0" collapsed="false"/>
    <row r="235" customFormat="false" ht="15.75" hidden="false" customHeight="true" outlineLevel="0" collapsed="false"/>
    <row r="236" customFormat="false" ht="15.75" hidden="false" customHeight="true" outlineLevel="0" collapsed="false"/>
    <row r="237" customFormat="false" ht="15.75" hidden="false" customHeight="true" outlineLevel="0" collapsed="false"/>
    <row r="238" customFormat="false" ht="15.75" hidden="false" customHeight="true" outlineLevel="0" collapsed="false"/>
    <row r="239" customFormat="false" ht="15.75" hidden="false" customHeight="true" outlineLevel="0" collapsed="false"/>
    <row r="240" customFormat="false" ht="15.75" hidden="false" customHeight="true" outlineLevel="0" collapsed="false"/>
    <row r="241" customFormat="false" ht="15.75" hidden="false" customHeight="true" outlineLevel="0" collapsed="false"/>
    <row r="242" customFormat="false" ht="15.75" hidden="false" customHeight="true" outlineLevel="0" collapsed="false"/>
    <row r="243" customFormat="false" ht="15.75" hidden="false" customHeight="true" outlineLevel="0" collapsed="false"/>
    <row r="244" customFormat="false" ht="15.75" hidden="false" customHeight="true" outlineLevel="0" collapsed="false"/>
    <row r="245" customFormat="false" ht="15.75" hidden="false" customHeight="true" outlineLevel="0" collapsed="false"/>
    <row r="246" customFormat="false" ht="15.75" hidden="false" customHeight="true" outlineLevel="0" collapsed="false"/>
    <row r="247" customFormat="false" ht="15.75" hidden="false" customHeight="true" outlineLevel="0" collapsed="false"/>
    <row r="248" customFormat="false" ht="15.75" hidden="false" customHeight="true" outlineLevel="0" collapsed="false"/>
    <row r="249" customFormat="false" ht="15.75" hidden="false" customHeight="true" outlineLevel="0" collapsed="false"/>
    <row r="250" customFormat="false" ht="15.75" hidden="false" customHeight="true" outlineLevel="0" collapsed="false"/>
    <row r="251" customFormat="false" ht="15.75" hidden="false" customHeight="true" outlineLevel="0" collapsed="false"/>
    <row r="252" customFormat="false" ht="15.75" hidden="false" customHeight="true" outlineLevel="0" collapsed="false"/>
    <row r="253" customFormat="false" ht="15.75" hidden="false" customHeight="true" outlineLevel="0" collapsed="false"/>
    <row r="254" customFormat="false" ht="15.75" hidden="false" customHeight="true" outlineLevel="0" collapsed="false"/>
    <row r="255" customFormat="false" ht="15.75" hidden="false" customHeight="true" outlineLevel="0" collapsed="false"/>
    <row r="256" customFormat="false" ht="15.75" hidden="false" customHeight="true" outlineLevel="0" collapsed="false"/>
    <row r="257" customFormat="false" ht="15.75" hidden="false" customHeight="true" outlineLevel="0" collapsed="false"/>
    <row r="258" customFormat="false" ht="15.75" hidden="false" customHeight="true" outlineLevel="0" collapsed="false"/>
    <row r="259" customFormat="false" ht="15.75" hidden="false" customHeight="true" outlineLevel="0" collapsed="false"/>
    <row r="260" customFormat="false" ht="15.75" hidden="false" customHeight="true" outlineLevel="0" collapsed="false"/>
    <row r="261" customFormat="false" ht="15.75" hidden="false" customHeight="true" outlineLevel="0" collapsed="false"/>
    <row r="262" customFormat="false" ht="15.75" hidden="false" customHeight="true" outlineLevel="0" collapsed="false"/>
    <row r="263" customFormat="false" ht="15.75" hidden="false" customHeight="true" outlineLevel="0" collapsed="false"/>
    <row r="264" customFormat="false" ht="15.75" hidden="false" customHeight="true" outlineLevel="0" collapsed="false"/>
    <row r="265" customFormat="false" ht="15.75" hidden="false" customHeight="true" outlineLevel="0" collapsed="false"/>
    <row r="266" customFormat="false" ht="15.75" hidden="false" customHeight="true" outlineLevel="0" collapsed="false"/>
    <row r="267" customFormat="false" ht="15.75" hidden="false" customHeight="true" outlineLevel="0" collapsed="false"/>
    <row r="268" customFormat="false" ht="15.75" hidden="false" customHeight="true" outlineLevel="0" collapsed="false"/>
    <row r="269" customFormat="false" ht="15.75" hidden="false" customHeight="true" outlineLevel="0" collapsed="false"/>
    <row r="270" customFormat="false" ht="15.75" hidden="false" customHeight="true" outlineLevel="0" collapsed="false"/>
    <row r="271" customFormat="false" ht="15.75" hidden="false" customHeight="true" outlineLevel="0" collapsed="false"/>
    <row r="272" customFormat="false" ht="15.75" hidden="false" customHeight="true" outlineLevel="0" collapsed="false"/>
    <row r="273" customFormat="false" ht="15.75" hidden="false" customHeight="true" outlineLevel="0" collapsed="false"/>
    <row r="274" customFormat="false" ht="15.75" hidden="false" customHeight="true" outlineLevel="0" collapsed="false"/>
    <row r="275" customFormat="false" ht="15.75" hidden="false" customHeight="true" outlineLevel="0" collapsed="false"/>
    <row r="276" customFormat="false" ht="15.75" hidden="false" customHeight="true" outlineLevel="0" collapsed="false"/>
    <row r="277" customFormat="false" ht="15.75" hidden="false" customHeight="true" outlineLevel="0" collapsed="false"/>
    <row r="278" customFormat="false" ht="15.75" hidden="false" customHeight="true" outlineLevel="0" collapsed="false"/>
    <row r="279" customFormat="false" ht="15.75" hidden="false" customHeight="true" outlineLevel="0" collapsed="false"/>
    <row r="280" customFormat="false" ht="15.75" hidden="false" customHeight="true" outlineLevel="0" collapsed="false"/>
    <row r="281" customFormat="false" ht="15.75" hidden="false" customHeight="true" outlineLevel="0" collapsed="false"/>
    <row r="282" customFormat="false" ht="15.75" hidden="false" customHeight="true" outlineLevel="0" collapsed="false"/>
    <row r="283" customFormat="false" ht="15.75" hidden="false" customHeight="true" outlineLevel="0" collapsed="false"/>
    <row r="284" customFormat="false" ht="15.75" hidden="false" customHeight="true" outlineLevel="0" collapsed="false"/>
    <row r="285" customFormat="false" ht="15.75" hidden="false" customHeight="true" outlineLevel="0" collapsed="false"/>
    <row r="286" customFormat="false" ht="15.75" hidden="false" customHeight="true" outlineLevel="0" collapsed="false"/>
    <row r="287" customFormat="false" ht="15.75" hidden="false" customHeight="true" outlineLevel="0" collapsed="false"/>
    <row r="288" customFormat="false" ht="15.75" hidden="false" customHeight="true" outlineLevel="0" collapsed="false"/>
    <row r="289" customFormat="false" ht="15.75" hidden="false" customHeight="true" outlineLevel="0" collapsed="false"/>
    <row r="290" customFormat="false" ht="15.75" hidden="false" customHeight="true" outlineLevel="0" collapsed="false"/>
    <row r="291" customFormat="false" ht="15.75" hidden="false" customHeight="true" outlineLevel="0" collapsed="false"/>
    <row r="292" customFormat="false" ht="15.75" hidden="false" customHeight="true" outlineLevel="0" collapsed="false"/>
    <row r="293" customFormat="false" ht="15.75" hidden="false" customHeight="true" outlineLevel="0" collapsed="false"/>
    <row r="294" customFormat="false" ht="15.75" hidden="false" customHeight="true" outlineLevel="0" collapsed="false"/>
    <row r="295" customFormat="false" ht="15.75" hidden="false" customHeight="true" outlineLevel="0" collapsed="false"/>
    <row r="296" customFormat="false" ht="15.75" hidden="false" customHeight="true" outlineLevel="0" collapsed="false"/>
    <row r="297" customFormat="false" ht="15.75" hidden="false" customHeight="true" outlineLevel="0" collapsed="false"/>
    <row r="298" customFormat="false" ht="15.75" hidden="false" customHeight="true" outlineLevel="0" collapsed="false"/>
    <row r="299" customFormat="false" ht="15.75" hidden="false" customHeight="true" outlineLevel="0" collapsed="false"/>
    <row r="300" customFormat="false" ht="15.75" hidden="false" customHeight="true" outlineLevel="0" collapsed="false"/>
    <row r="301" customFormat="false" ht="15.75" hidden="false" customHeight="true" outlineLevel="0" collapsed="false"/>
    <row r="302" customFormat="false" ht="15.75" hidden="false" customHeight="true" outlineLevel="0" collapsed="false"/>
    <row r="303" customFormat="false" ht="15.75" hidden="false" customHeight="true" outlineLevel="0" collapsed="false"/>
    <row r="304" customFormat="false" ht="15.75" hidden="false" customHeight="true" outlineLevel="0" collapsed="false"/>
    <row r="305" customFormat="false" ht="15.75" hidden="false" customHeight="true" outlineLevel="0" collapsed="false"/>
    <row r="306" customFormat="false" ht="15.75" hidden="false" customHeight="true" outlineLevel="0" collapsed="false"/>
    <row r="307" customFormat="false" ht="15.75" hidden="false" customHeight="true" outlineLevel="0" collapsed="false"/>
    <row r="308" customFormat="false" ht="15.75" hidden="false" customHeight="true" outlineLevel="0" collapsed="false"/>
    <row r="309" customFormat="false" ht="15.75" hidden="false" customHeight="true" outlineLevel="0" collapsed="false"/>
    <row r="310" customFormat="false" ht="15.75" hidden="false" customHeight="true" outlineLevel="0" collapsed="false"/>
    <row r="311" customFormat="false" ht="15.75" hidden="false" customHeight="true" outlineLevel="0" collapsed="false"/>
    <row r="312" customFormat="false" ht="15.75" hidden="false" customHeight="true" outlineLevel="0" collapsed="false"/>
    <row r="313" customFormat="false" ht="15.75" hidden="false" customHeight="true" outlineLevel="0" collapsed="false"/>
    <row r="314" customFormat="false" ht="15.75" hidden="false" customHeight="true" outlineLevel="0" collapsed="false"/>
    <row r="315" customFormat="false" ht="15.75" hidden="false" customHeight="true" outlineLevel="0" collapsed="false"/>
    <row r="316" customFormat="false" ht="15.75" hidden="false" customHeight="true" outlineLevel="0" collapsed="false"/>
    <row r="317" customFormat="false" ht="15.75" hidden="false" customHeight="true" outlineLevel="0" collapsed="false"/>
    <row r="318" customFormat="false" ht="15.75" hidden="false" customHeight="true" outlineLevel="0" collapsed="false"/>
    <row r="319" customFormat="false" ht="15.75" hidden="false" customHeight="true" outlineLevel="0" collapsed="false"/>
    <row r="320" customFormat="false" ht="15.75" hidden="false" customHeight="true" outlineLevel="0" collapsed="false"/>
    <row r="321" customFormat="false" ht="15.75" hidden="false" customHeight="true" outlineLevel="0" collapsed="false"/>
    <row r="322" customFormat="false" ht="15.75" hidden="false" customHeight="true" outlineLevel="0" collapsed="false"/>
    <row r="323" customFormat="false" ht="15.75" hidden="false" customHeight="true" outlineLevel="0" collapsed="false"/>
    <row r="324" customFormat="false" ht="15.75" hidden="false" customHeight="true" outlineLevel="0" collapsed="false"/>
    <row r="325" customFormat="false" ht="15.75" hidden="false" customHeight="true" outlineLevel="0" collapsed="false"/>
    <row r="326" customFormat="false" ht="15.75" hidden="false" customHeight="true" outlineLevel="0" collapsed="false"/>
    <row r="327" customFormat="false" ht="15.75" hidden="false" customHeight="true" outlineLevel="0" collapsed="false"/>
    <row r="328" customFormat="false" ht="15.75" hidden="false" customHeight="true" outlineLevel="0" collapsed="false"/>
    <row r="329" customFormat="false" ht="15.75" hidden="false" customHeight="true" outlineLevel="0" collapsed="false"/>
    <row r="330" customFormat="false" ht="15.75" hidden="false" customHeight="true" outlineLevel="0" collapsed="false"/>
    <row r="331" customFormat="false" ht="15.75" hidden="false" customHeight="true" outlineLevel="0" collapsed="false"/>
    <row r="332" customFormat="false" ht="15.75" hidden="false" customHeight="true" outlineLevel="0" collapsed="false"/>
    <row r="333" customFormat="false" ht="15.75" hidden="false" customHeight="true" outlineLevel="0" collapsed="false"/>
    <row r="334" customFormat="false" ht="15.75" hidden="false" customHeight="true" outlineLevel="0" collapsed="false"/>
    <row r="335" customFormat="false" ht="15.75" hidden="false" customHeight="true" outlineLevel="0" collapsed="false"/>
    <row r="336" customFormat="false" ht="15.75" hidden="false" customHeight="true" outlineLevel="0" collapsed="false"/>
    <row r="337" customFormat="false" ht="15.75" hidden="false" customHeight="true" outlineLevel="0" collapsed="false"/>
    <row r="338" customFormat="false" ht="15.75" hidden="false" customHeight="true" outlineLevel="0" collapsed="false"/>
    <row r="339" customFormat="false" ht="15.75" hidden="false" customHeight="true" outlineLevel="0" collapsed="false"/>
    <row r="340" customFormat="false" ht="15.75" hidden="false" customHeight="true" outlineLevel="0" collapsed="false"/>
    <row r="341" customFormat="false" ht="15.75" hidden="false" customHeight="true" outlineLevel="0" collapsed="false"/>
    <row r="342" customFormat="false" ht="15.75" hidden="false" customHeight="true" outlineLevel="0" collapsed="false"/>
    <row r="343" customFormat="false" ht="15.75" hidden="false" customHeight="true" outlineLevel="0" collapsed="false"/>
    <row r="344" customFormat="false" ht="15.75" hidden="false" customHeight="true" outlineLevel="0" collapsed="false"/>
    <row r="345" customFormat="false" ht="15.75" hidden="false" customHeight="true" outlineLevel="0" collapsed="false"/>
    <row r="346" customFormat="false" ht="15.75" hidden="false" customHeight="true" outlineLevel="0" collapsed="false"/>
    <row r="347" customFormat="false" ht="15.75" hidden="false" customHeight="true" outlineLevel="0" collapsed="false"/>
    <row r="348" customFormat="false" ht="15.75" hidden="false" customHeight="true" outlineLevel="0" collapsed="false"/>
    <row r="349" customFormat="false" ht="15.75" hidden="false" customHeight="true" outlineLevel="0" collapsed="false"/>
    <row r="350" customFormat="false" ht="15.75" hidden="false" customHeight="true" outlineLevel="0" collapsed="false"/>
    <row r="351" customFormat="false" ht="15.75" hidden="false" customHeight="true" outlineLevel="0" collapsed="false"/>
    <row r="352" customFormat="false" ht="15.75" hidden="false" customHeight="true" outlineLevel="0" collapsed="false"/>
    <row r="353" customFormat="false" ht="15.75" hidden="false" customHeight="true" outlineLevel="0" collapsed="false"/>
    <row r="354" customFormat="false" ht="15.75" hidden="false" customHeight="true" outlineLevel="0" collapsed="false"/>
    <row r="355" customFormat="false" ht="15.75" hidden="false" customHeight="true" outlineLevel="0" collapsed="false"/>
    <row r="356" customFormat="false" ht="15.75" hidden="false" customHeight="true" outlineLevel="0" collapsed="false"/>
    <row r="357" customFormat="false" ht="15.75" hidden="false" customHeight="true" outlineLevel="0" collapsed="false"/>
    <row r="358" customFormat="false" ht="15.75" hidden="false" customHeight="true" outlineLevel="0" collapsed="false"/>
    <row r="359" customFormat="false" ht="15.75" hidden="false" customHeight="true" outlineLevel="0" collapsed="false"/>
    <row r="360" customFormat="false" ht="15.75" hidden="false" customHeight="true" outlineLevel="0" collapsed="false"/>
    <row r="361" customFormat="false" ht="15.75" hidden="false" customHeight="true" outlineLevel="0" collapsed="false"/>
    <row r="362" customFormat="false" ht="15.75" hidden="false" customHeight="true" outlineLevel="0" collapsed="false"/>
    <row r="363" customFormat="false" ht="15.75" hidden="false" customHeight="true" outlineLevel="0" collapsed="false"/>
    <row r="364" customFormat="false" ht="15.75" hidden="false" customHeight="true" outlineLevel="0" collapsed="false"/>
    <row r="365" customFormat="false" ht="15.75" hidden="false" customHeight="true" outlineLevel="0" collapsed="false"/>
    <row r="366" customFormat="false" ht="15.75" hidden="false" customHeight="true" outlineLevel="0" collapsed="false"/>
    <row r="367" customFormat="false" ht="15.75" hidden="false" customHeight="true" outlineLevel="0" collapsed="false"/>
    <row r="368" customFormat="false" ht="15.75" hidden="false" customHeight="true" outlineLevel="0" collapsed="false"/>
    <row r="369" customFormat="false" ht="15.75" hidden="false" customHeight="true" outlineLevel="0" collapsed="false"/>
    <row r="370" customFormat="false" ht="15.75" hidden="false" customHeight="true" outlineLevel="0" collapsed="false"/>
    <row r="371" customFormat="false" ht="15.75" hidden="false" customHeight="true" outlineLevel="0" collapsed="false"/>
    <row r="372" customFormat="false" ht="15.75" hidden="false" customHeight="true" outlineLevel="0" collapsed="false"/>
    <row r="373" customFormat="false" ht="15.75" hidden="false" customHeight="true" outlineLevel="0" collapsed="false"/>
    <row r="374" customFormat="false" ht="15.75" hidden="false" customHeight="true" outlineLevel="0" collapsed="false"/>
    <row r="375" customFormat="false" ht="15.75" hidden="false" customHeight="true" outlineLevel="0" collapsed="false"/>
    <row r="376" customFormat="false" ht="15.75" hidden="false" customHeight="true" outlineLevel="0" collapsed="false"/>
    <row r="377" customFormat="false" ht="15.75" hidden="false" customHeight="true" outlineLevel="0" collapsed="false"/>
    <row r="378" customFormat="false" ht="15.75" hidden="false" customHeight="true" outlineLevel="0" collapsed="false"/>
    <row r="379" customFormat="false" ht="15.75" hidden="false" customHeight="true" outlineLevel="0" collapsed="false"/>
    <row r="380" customFormat="false" ht="15.75" hidden="false" customHeight="true" outlineLevel="0" collapsed="false"/>
    <row r="381" customFormat="false" ht="15.75" hidden="false" customHeight="true" outlineLevel="0" collapsed="false"/>
    <row r="382" customFormat="false" ht="15.75" hidden="false" customHeight="true" outlineLevel="0" collapsed="false"/>
    <row r="383" customFormat="false" ht="15.75" hidden="false" customHeight="true" outlineLevel="0" collapsed="false"/>
    <row r="384" customFormat="false" ht="15.75" hidden="false" customHeight="true" outlineLevel="0" collapsed="false"/>
    <row r="385" customFormat="false" ht="15.75" hidden="false" customHeight="true" outlineLevel="0" collapsed="false"/>
    <row r="386" customFormat="false" ht="15.75" hidden="false" customHeight="true" outlineLevel="0" collapsed="false"/>
    <row r="387" customFormat="false" ht="15.75" hidden="false" customHeight="true" outlineLevel="0" collapsed="false"/>
    <row r="388" customFormat="false" ht="15.75" hidden="false" customHeight="true" outlineLevel="0" collapsed="false"/>
    <row r="389" customFormat="false" ht="15.75" hidden="false" customHeight="true" outlineLevel="0" collapsed="false"/>
    <row r="390" customFormat="false" ht="15.75" hidden="false" customHeight="true" outlineLevel="0" collapsed="false"/>
    <row r="391" customFormat="false" ht="15.75" hidden="false" customHeight="true" outlineLevel="0" collapsed="false"/>
    <row r="392" customFormat="false" ht="15.75" hidden="false" customHeight="true" outlineLevel="0" collapsed="false"/>
    <row r="393" customFormat="false" ht="15.75" hidden="false" customHeight="true" outlineLevel="0" collapsed="false"/>
    <row r="394" customFormat="false" ht="15.75" hidden="false" customHeight="true" outlineLevel="0" collapsed="false"/>
    <row r="395" customFormat="false" ht="15.75" hidden="false" customHeight="true" outlineLevel="0" collapsed="false"/>
    <row r="396" customFormat="false" ht="15.75" hidden="false" customHeight="true" outlineLevel="0" collapsed="false"/>
    <row r="397" customFormat="false" ht="15.75" hidden="false" customHeight="true" outlineLevel="0" collapsed="false"/>
    <row r="398" customFormat="false" ht="15.75" hidden="false" customHeight="true" outlineLevel="0" collapsed="false"/>
    <row r="399" customFormat="false" ht="15.75" hidden="false" customHeight="true" outlineLevel="0" collapsed="false"/>
    <row r="400" customFormat="false" ht="15.75" hidden="false" customHeight="true" outlineLevel="0" collapsed="false"/>
    <row r="401" customFormat="false" ht="15.75" hidden="false" customHeight="true" outlineLevel="0" collapsed="false"/>
    <row r="402" customFormat="false" ht="15.75" hidden="false" customHeight="true" outlineLevel="0" collapsed="false"/>
    <row r="403" customFormat="false" ht="15.75" hidden="false" customHeight="true" outlineLevel="0" collapsed="false"/>
    <row r="404" customFormat="false" ht="15.75" hidden="false" customHeight="true" outlineLevel="0" collapsed="false"/>
    <row r="405" customFormat="false" ht="15.75" hidden="false" customHeight="true" outlineLevel="0" collapsed="false"/>
    <row r="406" customFormat="false" ht="15.75" hidden="false" customHeight="true" outlineLevel="0" collapsed="false"/>
    <row r="407" customFormat="false" ht="15.75" hidden="false" customHeight="true" outlineLevel="0" collapsed="false"/>
    <row r="408" customFormat="false" ht="15.75" hidden="false" customHeight="true" outlineLevel="0" collapsed="false"/>
    <row r="409" customFormat="false" ht="15.75" hidden="false" customHeight="true" outlineLevel="0" collapsed="false"/>
    <row r="410" customFormat="false" ht="15.75" hidden="false" customHeight="true" outlineLevel="0" collapsed="false"/>
    <row r="411" customFormat="false" ht="15.75" hidden="false" customHeight="true" outlineLevel="0" collapsed="false"/>
    <row r="412" customFormat="false" ht="15.75" hidden="false" customHeight="true" outlineLevel="0" collapsed="false"/>
    <row r="413" customFormat="false" ht="15.75" hidden="false" customHeight="true" outlineLevel="0" collapsed="false"/>
    <row r="414" customFormat="false" ht="15.75" hidden="false" customHeight="true" outlineLevel="0" collapsed="false"/>
    <row r="415" customFormat="false" ht="15.75" hidden="false" customHeight="true" outlineLevel="0" collapsed="false"/>
    <row r="416" customFormat="false" ht="15.75" hidden="false" customHeight="true" outlineLevel="0" collapsed="false"/>
    <row r="417" customFormat="false" ht="15.75" hidden="false" customHeight="true" outlineLevel="0" collapsed="false"/>
    <row r="418" customFormat="false" ht="15.75" hidden="false" customHeight="true" outlineLevel="0" collapsed="false"/>
    <row r="419" customFormat="false" ht="15.75" hidden="false" customHeight="true" outlineLevel="0" collapsed="false"/>
    <row r="420" customFormat="false" ht="15.75" hidden="false" customHeight="true" outlineLevel="0" collapsed="false"/>
    <row r="421" customFormat="false" ht="15.75" hidden="false" customHeight="true" outlineLevel="0" collapsed="false"/>
    <row r="422" customFormat="false" ht="15.75" hidden="false" customHeight="true" outlineLevel="0" collapsed="false"/>
    <row r="423" customFormat="false" ht="15.75" hidden="false" customHeight="true" outlineLevel="0" collapsed="false"/>
    <row r="424" customFormat="false" ht="15.75" hidden="false" customHeight="true" outlineLevel="0" collapsed="false"/>
    <row r="425" customFormat="false" ht="15.75" hidden="false" customHeight="true" outlineLevel="0" collapsed="false"/>
    <row r="426" customFormat="false" ht="15.75" hidden="false" customHeight="true" outlineLevel="0" collapsed="false"/>
    <row r="427" customFormat="false" ht="15.75" hidden="false" customHeight="true" outlineLevel="0" collapsed="false"/>
    <row r="428" customFormat="false" ht="15.75" hidden="false" customHeight="true" outlineLevel="0" collapsed="false"/>
    <row r="429" customFormat="false" ht="15.75" hidden="false" customHeight="true" outlineLevel="0" collapsed="false"/>
    <row r="430" customFormat="false" ht="15.75" hidden="false" customHeight="true" outlineLevel="0" collapsed="false"/>
    <row r="431" customFormat="false" ht="15.75" hidden="false" customHeight="true" outlineLevel="0" collapsed="false"/>
    <row r="432" customFormat="false" ht="15.75" hidden="false" customHeight="true" outlineLevel="0" collapsed="false"/>
    <row r="433" customFormat="false" ht="15.75" hidden="false" customHeight="true" outlineLevel="0" collapsed="false"/>
    <row r="434" customFormat="false" ht="15.75" hidden="false" customHeight="true" outlineLevel="0" collapsed="false"/>
    <row r="435" customFormat="false" ht="15.75" hidden="false" customHeight="true" outlineLevel="0" collapsed="false"/>
    <row r="436" customFormat="false" ht="15.75" hidden="false" customHeight="true" outlineLevel="0" collapsed="false"/>
    <row r="437" customFormat="false" ht="15.75" hidden="false" customHeight="true" outlineLevel="0" collapsed="false"/>
    <row r="438" customFormat="false" ht="15.75" hidden="false" customHeight="true" outlineLevel="0" collapsed="false"/>
    <row r="439" customFormat="false" ht="15.75" hidden="false" customHeight="true" outlineLevel="0" collapsed="false"/>
    <row r="440" customFormat="false" ht="15.75" hidden="false" customHeight="true" outlineLevel="0" collapsed="false"/>
    <row r="441" customFormat="false" ht="15.75" hidden="false" customHeight="true" outlineLevel="0" collapsed="false"/>
    <row r="442" customFormat="false" ht="15.75" hidden="false" customHeight="true" outlineLevel="0" collapsed="false"/>
    <row r="443" customFormat="false" ht="15.75" hidden="false" customHeight="true" outlineLevel="0" collapsed="false"/>
    <row r="444" customFormat="false" ht="15.75" hidden="false" customHeight="true" outlineLevel="0" collapsed="false"/>
    <row r="445" customFormat="false" ht="15.75" hidden="false" customHeight="true" outlineLevel="0" collapsed="false"/>
    <row r="446" customFormat="false" ht="15.75" hidden="false" customHeight="true" outlineLevel="0" collapsed="false"/>
    <row r="447" customFormat="false" ht="15.75" hidden="false" customHeight="true" outlineLevel="0" collapsed="false"/>
    <row r="448" customFormat="false" ht="15.75" hidden="false" customHeight="true" outlineLevel="0" collapsed="false"/>
    <row r="449" customFormat="false" ht="15.75" hidden="false" customHeight="true" outlineLevel="0" collapsed="false"/>
    <row r="450" customFormat="false" ht="15.75" hidden="false" customHeight="true" outlineLevel="0" collapsed="false"/>
    <row r="451" customFormat="false" ht="15.75" hidden="false" customHeight="true" outlineLevel="0" collapsed="false"/>
    <row r="452" customFormat="false" ht="15.75" hidden="false" customHeight="true" outlineLevel="0" collapsed="false"/>
    <row r="453" customFormat="false" ht="15.75" hidden="false" customHeight="true" outlineLevel="0" collapsed="false"/>
    <row r="454" customFormat="false" ht="15.75" hidden="false" customHeight="true" outlineLevel="0" collapsed="false"/>
    <row r="455" customFormat="false" ht="15.75" hidden="false" customHeight="true" outlineLevel="0" collapsed="false"/>
    <row r="456" customFormat="false" ht="15.75" hidden="false" customHeight="true" outlineLevel="0" collapsed="false"/>
    <row r="457" customFormat="false" ht="15.75" hidden="false" customHeight="true" outlineLevel="0" collapsed="false"/>
    <row r="458" customFormat="false" ht="15.75" hidden="false" customHeight="true" outlineLevel="0" collapsed="false"/>
    <row r="459" customFormat="false" ht="15.75" hidden="false" customHeight="true" outlineLevel="0" collapsed="false"/>
    <row r="460" customFormat="false" ht="15.75" hidden="false" customHeight="true" outlineLevel="0" collapsed="false"/>
    <row r="461" customFormat="false" ht="15.75" hidden="false" customHeight="true" outlineLevel="0" collapsed="false"/>
    <row r="462" customFormat="false" ht="15.75" hidden="false" customHeight="true" outlineLevel="0" collapsed="false"/>
    <row r="463" customFormat="false" ht="15.75" hidden="false" customHeight="true" outlineLevel="0" collapsed="false"/>
    <row r="464" customFormat="false" ht="15.75" hidden="false" customHeight="true" outlineLevel="0" collapsed="false"/>
    <row r="465" customFormat="false" ht="15.75" hidden="false" customHeight="true" outlineLevel="0" collapsed="false"/>
    <row r="466" customFormat="false" ht="15.75" hidden="false" customHeight="true" outlineLevel="0" collapsed="false"/>
    <row r="467" customFormat="false" ht="15.75" hidden="false" customHeight="true" outlineLevel="0" collapsed="false"/>
    <row r="468" customFormat="false" ht="15.75" hidden="false" customHeight="true" outlineLevel="0" collapsed="false"/>
    <row r="469" customFormat="false" ht="15.75" hidden="false" customHeight="true" outlineLevel="0" collapsed="false"/>
    <row r="470" customFormat="false" ht="15.75" hidden="false" customHeight="true" outlineLevel="0" collapsed="false"/>
    <row r="471" customFormat="false" ht="15.75" hidden="false" customHeight="true" outlineLevel="0" collapsed="false"/>
    <row r="472" customFormat="false" ht="15.75" hidden="false" customHeight="true" outlineLevel="0" collapsed="false"/>
    <row r="473" customFormat="false" ht="15.75" hidden="false" customHeight="true" outlineLevel="0" collapsed="false"/>
    <row r="474" customFormat="false" ht="15.75" hidden="false" customHeight="true" outlineLevel="0" collapsed="false"/>
    <row r="475" customFormat="false" ht="15.75" hidden="false" customHeight="true" outlineLevel="0" collapsed="false"/>
    <row r="476" customFormat="false" ht="15.75" hidden="false" customHeight="true" outlineLevel="0" collapsed="false"/>
    <row r="477" customFormat="false" ht="15.75" hidden="false" customHeight="true" outlineLevel="0" collapsed="false"/>
    <row r="478" customFormat="false" ht="15.75" hidden="false" customHeight="true" outlineLevel="0" collapsed="false"/>
    <row r="479" customFormat="false" ht="15.75" hidden="false" customHeight="true" outlineLevel="0" collapsed="false"/>
    <row r="480" customFormat="false" ht="15.75" hidden="false" customHeight="true" outlineLevel="0" collapsed="false"/>
    <row r="481" customFormat="false" ht="15.75" hidden="false" customHeight="true" outlineLevel="0" collapsed="false"/>
    <row r="482" customFormat="false" ht="15.75" hidden="false" customHeight="true" outlineLevel="0" collapsed="false"/>
    <row r="483" customFormat="false" ht="15.75" hidden="false" customHeight="true" outlineLevel="0" collapsed="false"/>
    <row r="484" customFormat="false" ht="15.75" hidden="false" customHeight="true" outlineLevel="0" collapsed="false"/>
    <row r="485" customFormat="false" ht="15.75" hidden="false" customHeight="true" outlineLevel="0" collapsed="false"/>
    <row r="486" customFormat="false" ht="15.75" hidden="false" customHeight="true" outlineLevel="0" collapsed="false"/>
    <row r="487" customFormat="false" ht="15.75" hidden="false" customHeight="true" outlineLevel="0" collapsed="false"/>
    <row r="488" customFormat="false" ht="15.75" hidden="false" customHeight="true" outlineLevel="0" collapsed="false"/>
    <row r="489" customFormat="false" ht="15.75" hidden="false" customHeight="true" outlineLevel="0" collapsed="false"/>
    <row r="490" customFormat="false" ht="15.75" hidden="false" customHeight="true" outlineLevel="0" collapsed="false"/>
    <row r="491" customFormat="false" ht="15.75" hidden="false" customHeight="true" outlineLevel="0" collapsed="false"/>
    <row r="492" customFormat="false" ht="15.75" hidden="false" customHeight="true" outlineLevel="0" collapsed="false"/>
    <row r="493" customFormat="false" ht="15.75" hidden="false" customHeight="true" outlineLevel="0" collapsed="false"/>
    <row r="494" customFormat="false" ht="15.75" hidden="false" customHeight="true" outlineLevel="0" collapsed="false"/>
    <row r="495" customFormat="false" ht="15.75" hidden="false" customHeight="true" outlineLevel="0" collapsed="false"/>
    <row r="496" customFormat="false" ht="15.75" hidden="false" customHeight="true" outlineLevel="0" collapsed="false"/>
    <row r="497" customFormat="false" ht="15.75" hidden="false" customHeight="true" outlineLevel="0" collapsed="false"/>
    <row r="498" customFormat="false" ht="15.75" hidden="false" customHeight="true" outlineLevel="0" collapsed="false"/>
    <row r="499" customFormat="false" ht="15.75" hidden="false" customHeight="true" outlineLevel="0" collapsed="false"/>
    <row r="500" customFormat="false" ht="15.75" hidden="false" customHeight="true" outlineLevel="0" collapsed="false"/>
    <row r="501" customFormat="false" ht="15.75" hidden="false" customHeight="true" outlineLevel="0" collapsed="false"/>
    <row r="502" customFormat="false" ht="15.75" hidden="false" customHeight="true" outlineLevel="0" collapsed="false"/>
    <row r="503" customFormat="false" ht="15.75" hidden="false" customHeight="true" outlineLevel="0" collapsed="false"/>
    <row r="504" customFormat="false" ht="15.75" hidden="false" customHeight="true" outlineLevel="0" collapsed="false"/>
    <row r="505" customFormat="false" ht="15.75" hidden="false" customHeight="true" outlineLevel="0" collapsed="false"/>
    <row r="506" customFormat="false" ht="15.75" hidden="false" customHeight="true" outlineLevel="0" collapsed="false"/>
    <row r="507" customFormat="false" ht="15.75" hidden="false" customHeight="true" outlineLevel="0" collapsed="false"/>
    <row r="508" customFormat="false" ht="15.75" hidden="false" customHeight="true" outlineLevel="0" collapsed="false"/>
    <row r="509" customFormat="false" ht="15.75" hidden="false" customHeight="true" outlineLevel="0" collapsed="false"/>
    <row r="510" customFormat="false" ht="15.75" hidden="false" customHeight="true" outlineLevel="0" collapsed="false"/>
    <row r="511" customFormat="false" ht="15.75" hidden="false" customHeight="true" outlineLevel="0" collapsed="false"/>
    <row r="512" customFormat="false" ht="15.75" hidden="false" customHeight="true" outlineLevel="0" collapsed="false"/>
    <row r="513" customFormat="false" ht="15.75" hidden="false" customHeight="true" outlineLevel="0" collapsed="false"/>
    <row r="514" customFormat="false" ht="15.75" hidden="false" customHeight="true" outlineLevel="0" collapsed="false"/>
    <row r="515" customFormat="false" ht="15.75" hidden="false" customHeight="true" outlineLevel="0" collapsed="false"/>
    <row r="516" customFormat="false" ht="15.75" hidden="false" customHeight="true" outlineLevel="0" collapsed="false"/>
    <row r="517" customFormat="false" ht="15.75" hidden="false" customHeight="true" outlineLevel="0" collapsed="false"/>
    <row r="518" customFormat="false" ht="15.75" hidden="false" customHeight="true" outlineLevel="0" collapsed="false"/>
    <row r="519" customFormat="false" ht="15.75" hidden="false" customHeight="true" outlineLevel="0" collapsed="false"/>
    <row r="520" customFormat="false" ht="15.75" hidden="false" customHeight="true" outlineLevel="0" collapsed="false"/>
    <row r="521" customFormat="false" ht="15.75" hidden="false" customHeight="true" outlineLevel="0" collapsed="false"/>
    <row r="522" customFormat="false" ht="15.75" hidden="false" customHeight="true" outlineLevel="0" collapsed="false"/>
    <row r="523" customFormat="false" ht="15.75" hidden="false" customHeight="true" outlineLevel="0" collapsed="false"/>
    <row r="524" customFormat="false" ht="15.75" hidden="false" customHeight="true" outlineLevel="0" collapsed="false"/>
    <row r="525" customFormat="false" ht="15.75" hidden="false" customHeight="true" outlineLevel="0" collapsed="false"/>
    <row r="526" customFormat="false" ht="15.75" hidden="false" customHeight="true" outlineLevel="0" collapsed="false"/>
    <row r="527" customFormat="false" ht="15.75" hidden="false" customHeight="true" outlineLevel="0" collapsed="false"/>
    <row r="528" customFormat="false" ht="15.75" hidden="false" customHeight="true" outlineLevel="0" collapsed="false"/>
    <row r="529" customFormat="false" ht="15.75" hidden="false" customHeight="true" outlineLevel="0" collapsed="false"/>
    <row r="530" customFormat="false" ht="15.75" hidden="false" customHeight="true" outlineLevel="0" collapsed="false"/>
    <row r="531" customFormat="false" ht="15.75" hidden="false" customHeight="true" outlineLevel="0" collapsed="false"/>
    <row r="532" customFormat="false" ht="15.75" hidden="false" customHeight="true" outlineLevel="0" collapsed="false"/>
    <row r="533" customFormat="false" ht="15.75" hidden="false" customHeight="true" outlineLevel="0" collapsed="false"/>
    <row r="534" customFormat="false" ht="15.75" hidden="false" customHeight="true" outlineLevel="0" collapsed="false"/>
    <row r="535" customFormat="false" ht="15.75" hidden="false" customHeight="true" outlineLevel="0" collapsed="false"/>
    <row r="536" customFormat="false" ht="15.75" hidden="false" customHeight="true" outlineLevel="0" collapsed="false"/>
    <row r="537" customFormat="false" ht="15.75" hidden="false" customHeight="true" outlineLevel="0" collapsed="false"/>
    <row r="538" customFormat="false" ht="15.75" hidden="false" customHeight="true" outlineLevel="0" collapsed="false"/>
    <row r="539" customFormat="false" ht="15.75" hidden="false" customHeight="true" outlineLevel="0" collapsed="false"/>
    <row r="540" customFormat="false" ht="15.75" hidden="false" customHeight="true" outlineLevel="0" collapsed="false"/>
    <row r="541" customFormat="false" ht="15.75" hidden="false" customHeight="true" outlineLevel="0" collapsed="false"/>
    <row r="542" customFormat="false" ht="15.75" hidden="false" customHeight="true" outlineLevel="0" collapsed="false"/>
    <row r="543" customFormat="false" ht="15.75" hidden="false" customHeight="true" outlineLevel="0" collapsed="false"/>
    <row r="544" customFormat="false" ht="15.75" hidden="false" customHeight="true" outlineLevel="0" collapsed="false"/>
    <row r="545" customFormat="false" ht="15.75" hidden="false" customHeight="true" outlineLevel="0" collapsed="false"/>
    <row r="546" customFormat="false" ht="15.75" hidden="false" customHeight="true" outlineLevel="0" collapsed="false"/>
    <row r="547" customFormat="false" ht="15.75" hidden="false" customHeight="true" outlineLevel="0" collapsed="false"/>
    <row r="548" customFormat="false" ht="15.75" hidden="false" customHeight="true" outlineLevel="0" collapsed="false"/>
    <row r="549" customFormat="false" ht="15.75" hidden="false" customHeight="true" outlineLevel="0" collapsed="false"/>
    <row r="550" customFormat="false" ht="15.75" hidden="false" customHeight="true" outlineLevel="0" collapsed="false"/>
    <row r="551" customFormat="false" ht="15.75" hidden="false" customHeight="true" outlineLevel="0" collapsed="false"/>
    <row r="552" customFormat="false" ht="15.75" hidden="false" customHeight="true" outlineLevel="0" collapsed="false"/>
    <row r="553" customFormat="false" ht="15.75" hidden="false" customHeight="true" outlineLevel="0" collapsed="false"/>
    <row r="554" customFormat="false" ht="15.75" hidden="false" customHeight="true" outlineLevel="0" collapsed="false"/>
    <row r="555" customFormat="false" ht="15.75" hidden="false" customHeight="true" outlineLevel="0" collapsed="false"/>
    <row r="556" customFormat="false" ht="15.75" hidden="false" customHeight="true" outlineLevel="0" collapsed="false"/>
    <row r="557" customFormat="false" ht="15.75" hidden="false" customHeight="true" outlineLevel="0" collapsed="false"/>
    <row r="558" customFormat="false" ht="15.75" hidden="false" customHeight="true" outlineLevel="0" collapsed="false"/>
    <row r="559" customFormat="false" ht="15.75" hidden="false" customHeight="true" outlineLevel="0" collapsed="false"/>
    <row r="560" customFormat="false" ht="15.75" hidden="false" customHeight="true" outlineLevel="0" collapsed="false"/>
    <row r="561" customFormat="false" ht="15.75" hidden="false" customHeight="true" outlineLevel="0" collapsed="false"/>
    <row r="562" customFormat="false" ht="15.75" hidden="false" customHeight="true" outlineLevel="0" collapsed="false"/>
    <row r="563" customFormat="false" ht="15.75" hidden="false" customHeight="true" outlineLevel="0" collapsed="false"/>
    <row r="564" customFormat="false" ht="15.75" hidden="false" customHeight="true" outlineLevel="0" collapsed="false"/>
    <row r="565" customFormat="false" ht="15.75" hidden="false" customHeight="true" outlineLevel="0" collapsed="false"/>
    <row r="566" customFormat="false" ht="15.75" hidden="false" customHeight="true" outlineLevel="0" collapsed="false"/>
    <row r="567" customFormat="false" ht="15.75" hidden="false" customHeight="true" outlineLevel="0" collapsed="false"/>
    <row r="568" customFormat="false" ht="15.75" hidden="false" customHeight="true" outlineLevel="0" collapsed="false"/>
    <row r="569" customFormat="false" ht="15.75" hidden="false" customHeight="true" outlineLevel="0" collapsed="false"/>
    <row r="570" customFormat="false" ht="15.75" hidden="false" customHeight="true" outlineLevel="0" collapsed="false"/>
    <row r="571" customFormat="false" ht="15.75" hidden="false" customHeight="true" outlineLevel="0" collapsed="false"/>
    <row r="572" customFormat="false" ht="15.75" hidden="false" customHeight="true" outlineLevel="0" collapsed="false"/>
    <row r="573" customFormat="false" ht="15.75" hidden="false" customHeight="true" outlineLevel="0" collapsed="false"/>
    <row r="574" customFormat="false" ht="15.75" hidden="false" customHeight="true" outlineLevel="0" collapsed="false"/>
    <row r="575" customFormat="false" ht="15.75" hidden="false" customHeight="true" outlineLevel="0" collapsed="false"/>
    <row r="576" customFormat="false" ht="15.75" hidden="false" customHeight="true" outlineLevel="0" collapsed="false"/>
    <row r="577" customFormat="false" ht="15.75" hidden="false" customHeight="true" outlineLevel="0" collapsed="false"/>
    <row r="578" customFormat="false" ht="15.75" hidden="false" customHeight="true" outlineLevel="0" collapsed="false"/>
    <row r="579" customFormat="false" ht="15.75" hidden="false" customHeight="true" outlineLevel="0" collapsed="false"/>
    <row r="580" customFormat="false" ht="15.75" hidden="false" customHeight="true" outlineLevel="0" collapsed="false"/>
    <row r="581" customFormat="false" ht="15.75" hidden="false" customHeight="true" outlineLevel="0" collapsed="false"/>
    <row r="582" customFormat="false" ht="15.75" hidden="false" customHeight="true" outlineLevel="0" collapsed="false"/>
    <row r="583" customFormat="false" ht="15.75" hidden="false" customHeight="true" outlineLevel="0" collapsed="false"/>
    <row r="584" customFormat="false" ht="15.75" hidden="false" customHeight="true" outlineLevel="0" collapsed="false"/>
    <row r="585" customFormat="false" ht="15.75" hidden="false" customHeight="true" outlineLevel="0" collapsed="false"/>
    <row r="586" customFormat="false" ht="15.75" hidden="false" customHeight="true" outlineLevel="0" collapsed="false"/>
    <row r="587" customFormat="false" ht="15.75" hidden="false" customHeight="true" outlineLevel="0" collapsed="false"/>
    <row r="588" customFormat="false" ht="15.75" hidden="false" customHeight="true" outlineLevel="0" collapsed="false"/>
    <row r="589" customFormat="false" ht="15.75" hidden="false" customHeight="true" outlineLevel="0" collapsed="false"/>
    <row r="590" customFormat="false" ht="15.75" hidden="false" customHeight="true" outlineLevel="0" collapsed="false"/>
    <row r="591" customFormat="false" ht="15.75" hidden="false" customHeight="true" outlineLevel="0" collapsed="false"/>
    <row r="592" customFormat="false" ht="15.75" hidden="false" customHeight="true" outlineLevel="0" collapsed="false"/>
    <row r="593" customFormat="false" ht="15.75" hidden="false" customHeight="true" outlineLevel="0" collapsed="false"/>
    <row r="594" customFormat="false" ht="15.75" hidden="false" customHeight="true" outlineLevel="0" collapsed="false"/>
    <row r="595" customFormat="false" ht="15.75" hidden="false" customHeight="true" outlineLevel="0" collapsed="false"/>
    <row r="596" customFormat="false" ht="15.75" hidden="false" customHeight="true" outlineLevel="0" collapsed="false"/>
    <row r="597" customFormat="false" ht="15.75" hidden="false" customHeight="true" outlineLevel="0" collapsed="false"/>
    <row r="598" customFormat="false" ht="15.75" hidden="false" customHeight="true" outlineLevel="0" collapsed="false"/>
    <row r="599" customFormat="false" ht="15.75" hidden="false" customHeight="true" outlineLevel="0" collapsed="false"/>
    <row r="600" customFormat="false" ht="15.75" hidden="false" customHeight="true" outlineLevel="0" collapsed="false"/>
    <row r="601" customFormat="false" ht="15.75" hidden="false" customHeight="true" outlineLevel="0" collapsed="false"/>
    <row r="602" customFormat="false" ht="15.75" hidden="false" customHeight="true" outlineLevel="0" collapsed="false"/>
    <row r="603" customFormat="false" ht="15.75" hidden="false" customHeight="true" outlineLevel="0" collapsed="false"/>
    <row r="604" customFormat="false" ht="15.75" hidden="false" customHeight="true" outlineLevel="0" collapsed="false"/>
    <row r="605" customFormat="false" ht="15.75" hidden="false" customHeight="true" outlineLevel="0" collapsed="false"/>
    <row r="606" customFormat="false" ht="15.75" hidden="false" customHeight="true" outlineLevel="0" collapsed="false"/>
    <row r="607" customFormat="false" ht="15.75" hidden="false" customHeight="true" outlineLevel="0" collapsed="false"/>
    <row r="608" customFormat="false" ht="15.75" hidden="false" customHeight="true" outlineLevel="0" collapsed="false"/>
    <row r="609" customFormat="false" ht="15.75" hidden="false" customHeight="true" outlineLevel="0" collapsed="false"/>
    <row r="610" customFormat="false" ht="15.75" hidden="false" customHeight="true" outlineLevel="0" collapsed="false"/>
    <row r="611" customFormat="false" ht="15.75" hidden="false" customHeight="true" outlineLevel="0" collapsed="false"/>
    <row r="612" customFormat="false" ht="15.75" hidden="false" customHeight="true" outlineLevel="0" collapsed="false"/>
    <row r="613" customFormat="false" ht="15.75" hidden="false" customHeight="true" outlineLevel="0" collapsed="false"/>
    <row r="614" customFormat="false" ht="15.75" hidden="false" customHeight="true" outlineLevel="0" collapsed="false"/>
    <row r="615" customFormat="false" ht="15.75" hidden="false" customHeight="true" outlineLevel="0" collapsed="false"/>
    <row r="616" customFormat="false" ht="15.75" hidden="false" customHeight="true" outlineLevel="0" collapsed="false"/>
    <row r="617" customFormat="false" ht="15.75" hidden="false" customHeight="true" outlineLevel="0" collapsed="false"/>
    <row r="618" customFormat="false" ht="15.75" hidden="false" customHeight="true" outlineLevel="0" collapsed="false"/>
    <row r="619" customFormat="false" ht="15.75" hidden="false" customHeight="true" outlineLevel="0" collapsed="false"/>
    <row r="620" customFormat="false" ht="15.75" hidden="false" customHeight="true" outlineLevel="0" collapsed="false"/>
    <row r="621" customFormat="false" ht="15.75" hidden="false" customHeight="true" outlineLevel="0" collapsed="false"/>
    <row r="622" customFormat="false" ht="15.75" hidden="false" customHeight="true" outlineLevel="0" collapsed="false"/>
    <row r="623" customFormat="false" ht="15.75" hidden="false" customHeight="true" outlineLevel="0" collapsed="false"/>
    <row r="624" customFormat="false" ht="15.75" hidden="false" customHeight="true" outlineLevel="0" collapsed="false"/>
    <row r="625" customFormat="false" ht="15.75" hidden="false" customHeight="true" outlineLevel="0" collapsed="false"/>
    <row r="626" customFormat="false" ht="15.75" hidden="false" customHeight="true" outlineLevel="0" collapsed="false"/>
    <row r="627" customFormat="false" ht="15.75" hidden="false" customHeight="true" outlineLevel="0" collapsed="false"/>
    <row r="628" customFormat="false" ht="15.75" hidden="false" customHeight="true" outlineLevel="0" collapsed="false"/>
    <row r="629" customFormat="false" ht="15.75" hidden="false" customHeight="true" outlineLevel="0" collapsed="false"/>
    <row r="630" customFormat="false" ht="15.75" hidden="false" customHeight="true" outlineLevel="0" collapsed="false"/>
    <row r="631" customFormat="false" ht="15.75" hidden="false" customHeight="true" outlineLevel="0" collapsed="false"/>
    <row r="632" customFormat="false" ht="15.75" hidden="false" customHeight="true" outlineLevel="0" collapsed="false"/>
    <row r="633" customFormat="false" ht="15.75" hidden="false" customHeight="true" outlineLevel="0" collapsed="false"/>
    <row r="634" customFormat="false" ht="15.75" hidden="false" customHeight="true" outlineLevel="0" collapsed="false"/>
    <row r="635" customFormat="false" ht="15.75" hidden="false" customHeight="true" outlineLevel="0" collapsed="false"/>
    <row r="636" customFormat="false" ht="15.75" hidden="false" customHeight="true" outlineLevel="0" collapsed="false"/>
    <row r="637" customFormat="false" ht="15.75" hidden="false" customHeight="true" outlineLevel="0" collapsed="false"/>
    <row r="638" customFormat="false" ht="15.75" hidden="false" customHeight="true" outlineLevel="0" collapsed="false"/>
    <row r="639" customFormat="false" ht="15.75" hidden="false" customHeight="true" outlineLevel="0" collapsed="false"/>
    <row r="640" customFormat="false" ht="15.75" hidden="false" customHeight="true" outlineLevel="0" collapsed="false"/>
    <row r="641" customFormat="false" ht="15.75" hidden="false" customHeight="true" outlineLevel="0" collapsed="false"/>
    <row r="642" customFormat="false" ht="15.75" hidden="false" customHeight="true" outlineLevel="0" collapsed="false"/>
    <row r="643" customFormat="false" ht="15.75" hidden="false" customHeight="true" outlineLevel="0" collapsed="false"/>
    <row r="644" customFormat="false" ht="15.75" hidden="false" customHeight="true" outlineLevel="0" collapsed="false"/>
    <row r="645" customFormat="false" ht="15.75" hidden="false" customHeight="true" outlineLevel="0" collapsed="false"/>
    <row r="646" customFormat="false" ht="15.75" hidden="false" customHeight="true" outlineLevel="0" collapsed="false"/>
    <row r="647" customFormat="false" ht="15.75" hidden="false" customHeight="true" outlineLevel="0" collapsed="false"/>
    <row r="648" customFormat="false" ht="15.75" hidden="false" customHeight="true" outlineLevel="0" collapsed="false"/>
    <row r="649" customFormat="false" ht="15.75" hidden="false" customHeight="true" outlineLevel="0" collapsed="false"/>
    <row r="650" customFormat="false" ht="15.75" hidden="false" customHeight="true" outlineLevel="0" collapsed="false"/>
    <row r="651" customFormat="false" ht="15.75" hidden="false" customHeight="true" outlineLevel="0" collapsed="false"/>
    <row r="652" customFormat="false" ht="15.75" hidden="false" customHeight="true" outlineLevel="0" collapsed="false"/>
    <row r="653" customFormat="false" ht="15.75" hidden="false" customHeight="true" outlineLevel="0" collapsed="false"/>
    <row r="654" customFormat="false" ht="15.75" hidden="false" customHeight="true" outlineLevel="0" collapsed="false"/>
    <row r="655" customFormat="false" ht="15.75" hidden="false" customHeight="true" outlineLevel="0" collapsed="false"/>
    <row r="656" customFormat="false" ht="15.75" hidden="false" customHeight="true" outlineLevel="0" collapsed="false"/>
    <row r="657" customFormat="false" ht="15.75" hidden="false" customHeight="true" outlineLevel="0" collapsed="false"/>
    <row r="658" customFormat="false" ht="15.75" hidden="false" customHeight="true" outlineLevel="0" collapsed="false"/>
    <row r="659" customFormat="false" ht="15.75" hidden="false" customHeight="true" outlineLevel="0" collapsed="false"/>
    <row r="660" customFormat="false" ht="15.75" hidden="false" customHeight="true" outlineLevel="0" collapsed="false"/>
    <row r="661" customFormat="false" ht="15.75" hidden="false" customHeight="true" outlineLevel="0" collapsed="false"/>
    <row r="662" customFormat="false" ht="15.75" hidden="false" customHeight="true" outlineLevel="0" collapsed="false"/>
    <row r="663" customFormat="false" ht="15.75" hidden="false" customHeight="true" outlineLevel="0" collapsed="false"/>
    <row r="664" customFormat="false" ht="15.75" hidden="false" customHeight="true" outlineLevel="0" collapsed="false"/>
    <row r="665" customFormat="false" ht="15.75" hidden="false" customHeight="true" outlineLevel="0" collapsed="false"/>
    <row r="666" customFormat="false" ht="15.75" hidden="false" customHeight="true" outlineLevel="0" collapsed="false"/>
    <row r="667" customFormat="false" ht="15.75" hidden="false" customHeight="true" outlineLevel="0" collapsed="false"/>
    <row r="668" customFormat="false" ht="15.75" hidden="false" customHeight="true" outlineLevel="0" collapsed="false"/>
    <row r="669" customFormat="false" ht="15.75" hidden="false" customHeight="true" outlineLevel="0" collapsed="false"/>
    <row r="670" customFormat="false" ht="15.75" hidden="false" customHeight="true" outlineLevel="0" collapsed="false"/>
    <row r="671" customFormat="false" ht="15.75" hidden="false" customHeight="true" outlineLevel="0" collapsed="false"/>
    <row r="672" customFormat="false" ht="15.75" hidden="false" customHeight="true" outlineLevel="0" collapsed="false"/>
    <row r="673" customFormat="false" ht="15.75" hidden="false" customHeight="true" outlineLevel="0" collapsed="false"/>
    <row r="674" customFormat="false" ht="15.75" hidden="false" customHeight="true" outlineLevel="0" collapsed="false"/>
    <row r="675" customFormat="false" ht="15.75" hidden="false" customHeight="true" outlineLevel="0" collapsed="false"/>
    <row r="676" customFormat="false" ht="15.75" hidden="false" customHeight="true" outlineLevel="0" collapsed="false"/>
    <row r="677" customFormat="false" ht="15.75" hidden="false" customHeight="true" outlineLevel="0" collapsed="false"/>
    <row r="678" customFormat="false" ht="15.75" hidden="false" customHeight="true" outlineLevel="0" collapsed="false"/>
    <row r="679" customFormat="false" ht="15.75" hidden="false" customHeight="true" outlineLevel="0" collapsed="false"/>
    <row r="680" customFormat="false" ht="15.75" hidden="false" customHeight="true" outlineLevel="0" collapsed="false"/>
    <row r="681" customFormat="false" ht="15.75" hidden="false" customHeight="true" outlineLevel="0" collapsed="false"/>
    <row r="682" customFormat="false" ht="15.75" hidden="false" customHeight="true" outlineLevel="0" collapsed="false"/>
    <row r="683" customFormat="false" ht="15.75" hidden="false" customHeight="true" outlineLevel="0" collapsed="false"/>
    <row r="684" customFormat="false" ht="15.75" hidden="false" customHeight="true" outlineLevel="0" collapsed="false"/>
    <row r="685" customFormat="false" ht="15.75" hidden="false" customHeight="true" outlineLevel="0" collapsed="false"/>
    <row r="686" customFormat="false" ht="15.75" hidden="false" customHeight="true" outlineLevel="0" collapsed="false"/>
    <row r="687" customFormat="false" ht="15.75" hidden="false" customHeight="true" outlineLevel="0" collapsed="false"/>
    <row r="688" customFormat="false" ht="15.75" hidden="false" customHeight="true" outlineLevel="0" collapsed="false"/>
    <row r="689" customFormat="false" ht="15.75" hidden="false" customHeight="true" outlineLevel="0" collapsed="false"/>
    <row r="690" customFormat="false" ht="15.75" hidden="false" customHeight="true" outlineLevel="0" collapsed="false"/>
    <row r="691" customFormat="false" ht="15.75" hidden="false" customHeight="true" outlineLevel="0" collapsed="false"/>
    <row r="692" customFormat="false" ht="15.75" hidden="false" customHeight="true" outlineLevel="0" collapsed="false"/>
    <row r="693" customFormat="false" ht="15.75" hidden="false" customHeight="true" outlineLevel="0" collapsed="false"/>
    <row r="694" customFormat="false" ht="15.75" hidden="false" customHeight="true" outlineLevel="0" collapsed="false"/>
    <row r="695" customFormat="false" ht="15.75" hidden="false" customHeight="true" outlineLevel="0" collapsed="false"/>
    <row r="696" customFormat="false" ht="15.75" hidden="false" customHeight="true" outlineLevel="0" collapsed="false"/>
    <row r="697" customFormat="false" ht="15.75" hidden="false" customHeight="true" outlineLevel="0" collapsed="false"/>
    <row r="698" customFormat="false" ht="15.75" hidden="false" customHeight="true" outlineLevel="0" collapsed="false"/>
    <row r="699" customFormat="false" ht="15.75" hidden="false" customHeight="true" outlineLevel="0" collapsed="false"/>
    <row r="700" customFormat="false" ht="15.75" hidden="false" customHeight="true" outlineLevel="0" collapsed="false"/>
    <row r="701" customFormat="false" ht="15.75" hidden="false" customHeight="true" outlineLevel="0" collapsed="false"/>
    <row r="702" customFormat="false" ht="15.75" hidden="false" customHeight="true" outlineLevel="0" collapsed="false"/>
    <row r="703" customFormat="false" ht="15.75" hidden="false" customHeight="true" outlineLevel="0" collapsed="false"/>
    <row r="704" customFormat="false" ht="15.75" hidden="false" customHeight="true" outlineLevel="0" collapsed="false"/>
    <row r="705" customFormat="false" ht="15.75" hidden="false" customHeight="true" outlineLevel="0" collapsed="false"/>
    <row r="706" customFormat="false" ht="15.75" hidden="false" customHeight="true" outlineLevel="0" collapsed="false"/>
    <row r="707" customFormat="false" ht="15.75" hidden="false" customHeight="true" outlineLevel="0" collapsed="false"/>
    <row r="708" customFormat="false" ht="15.75" hidden="false" customHeight="true" outlineLevel="0" collapsed="false"/>
    <row r="709" customFormat="false" ht="15.75" hidden="false" customHeight="true" outlineLevel="0" collapsed="false"/>
    <row r="710" customFormat="false" ht="15.75" hidden="false" customHeight="true" outlineLevel="0" collapsed="false"/>
    <row r="711" customFormat="false" ht="15.75" hidden="false" customHeight="true" outlineLevel="0" collapsed="false"/>
    <row r="712" customFormat="false" ht="15.75" hidden="false" customHeight="true" outlineLevel="0" collapsed="false"/>
    <row r="713" customFormat="false" ht="15.75" hidden="false" customHeight="true" outlineLevel="0" collapsed="false"/>
    <row r="714" customFormat="false" ht="15.75" hidden="false" customHeight="true" outlineLevel="0" collapsed="false"/>
    <row r="715" customFormat="false" ht="15.75" hidden="false" customHeight="true" outlineLevel="0" collapsed="false"/>
    <row r="716" customFormat="false" ht="15.75" hidden="false" customHeight="true" outlineLevel="0" collapsed="false"/>
    <row r="717" customFormat="false" ht="15.75" hidden="false" customHeight="true" outlineLevel="0" collapsed="false"/>
    <row r="718" customFormat="false" ht="15.75" hidden="false" customHeight="true" outlineLevel="0" collapsed="false"/>
    <row r="719" customFormat="false" ht="15.75" hidden="false" customHeight="true" outlineLevel="0" collapsed="false"/>
    <row r="720" customFormat="false" ht="15.75" hidden="false" customHeight="true" outlineLevel="0" collapsed="false"/>
    <row r="721" customFormat="false" ht="15.75" hidden="false" customHeight="true" outlineLevel="0" collapsed="false"/>
    <row r="722" customFormat="false" ht="15.75" hidden="false" customHeight="true" outlineLevel="0" collapsed="false"/>
    <row r="723" customFormat="false" ht="15.75" hidden="false" customHeight="true" outlineLevel="0" collapsed="false"/>
    <row r="724" customFormat="false" ht="15.75" hidden="false" customHeight="true" outlineLevel="0" collapsed="false"/>
    <row r="725" customFormat="false" ht="15.75" hidden="false" customHeight="true" outlineLevel="0" collapsed="false"/>
    <row r="726" customFormat="false" ht="15.75" hidden="false" customHeight="true" outlineLevel="0" collapsed="false"/>
    <row r="727" customFormat="false" ht="15.75" hidden="false" customHeight="true" outlineLevel="0" collapsed="false"/>
    <row r="728" customFormat="false" ht="15.75" hidden="false" customHeight="true" outlineLevel="0" collapsed="false"/>
    <row r="729" customFormat="false" ht="15.75" hidden="false" customHeight="true" outlineLevel="0" collapsed="false"/>
    <row r="730" customFormat="false" ht="15.75" hidden="false" customHeight="true" outlineLevel="0" collapsed="false"/>
    <row r="731" customFormat="false" ht="15.75" hidden="false" customHeight="true" outlineLevel="0" collapsed="false"/>
    <row r="732" customFormat="false" ht="15.75" hidden="false" customHeight="true" outlineLevel="0" collapsed="false"/>
    <row r="733" customFormat="false" ht="15.75" hidden="false" customHeight="true" outlineLevel="0" collapsed="false"/>
    <row r="734" customFormat="false" ht="15.75" hidden="false" customHeight="true" outlineLevel="0" collapsed="false"/>
    <row r="735" customFormat="false" ht="15.75" hidden="false" customHeight="true" outlineLevel="0" collapsed="false"/>
    <row r="736" customFormat="false" ht="15.75" hidden="false" customHeight="true" outlineLevel="0" collapsed="false"/>
    <row r="737" customFormat="false" ht="15.75" hidden="false" customHeight="true" outlineLevel="0" collapsed="false"/>
    <row r="738" customFormat="false" ht="15.75" hidden="false" customHeight="true" outlineLevel="0" collapsed="false"/>
    <row r="739" customFormat="false" ht="15.75" hidden="false" customHeight="true" outlineLevel="0" collapsed="false"/>
    <row r="740" customFormat="false" ht="15.75" hidden="false" customHeight="true" outlineLevel="0" collapsed="false"/>
    <row r="741" customFormat="false" ht="15.75" hidden="false" customHeight="true" outlineLevel="0" collapsed="false"/>
    <row r="742" customFormat="false" ht="15.75" hidden="false" customHeight="true" outlineLevel="0" collapsed="false"/>
    <row r="743" customFormat="false" ht="15.75" hidden="false" customHeight="true" outlineLevel="0" collapsed="false"/>
    <row r="744" customFormat="false" ht="15.75" hidden="false" customHeight="true" outlineLevel="0" collapsed="false"/>
    <row r="745" customFormat="false" ht="15.75" hidden="false" customHeight="true" outlineLevel="0" collapsed="false"/>
    <row r="746" customFormat="false" ht="15.75" hidden="false" customHeight="true" outlineLevel="0" collapsed="false"/>
    <row r="747" customFormat="false" ht="15.75" hidden="false" customHeight="true" outlineLevel="0" collapsed="false"/>
    <row r="748" customFormat="false" ht="15.75" hidden="false" customHeight="true" outlineLevel="0" collapsed="false"/>
    <row r="749" customFormat="false" ht="15.75" hidden="false" customHeight="true" outlineLevel="0" collapsed="false"/>
    <row r="750" customFormat="false" ht="15.75" hidden="false" customHeight="true" outlineLevel="0" collapsed="false"/>
    <row r="751" customFormat="false" ht="15.75" hidden="false" customHeight="true" outlineLevel="0" collapsed="false"/>
    <row r="752" customFormat="false" ht="15.75" hidden="false" customHeight="true" outlineLevel="0" collapsed="false"/>
    <row r="753" customFormat="false" ht="15.75" hidden="false" customHeight="true" outlineLevel="0" collapsed="false"/>
    <row r="754" customFormat="false" ht="15.75" hidden="false" customHeight="true" outlineLevel="0" collapsed="false"/>
    <row r="755" customFormat="false" ht="15.75" hidden="false" customHeight="true" outlineLevel="0" collapsed="false"/>
    <row r="756" customFormat="false" ht="15.75" hidden="false" customHeight="true" outlineLevel="0" collapsed="false"/>
    <row r="757" customFormat="false" ht="15.75" hidden="false" customHeight="true" outlineLevel="0" collapsed="false"/>
    <row r="758" customFormat="false" ht="15.75" hidden="false" customHeight="true" outlineLevel="0" collapsed="false"/>
    <row r="759" customFormat="false" ht="15.75" hidden="false" customHeight="true" outlineLevel="0" collapsed="false"/>
    <row r="760" customFormat="false" ht="15.75" hidden="false" customHeight="true" outlineLevel="0" collapsed="false"/>
    <row r="761" customFormat="false" ht="15.75" hidden="false" customHeight="true" outlineLevel="0" collapsed="false"/>
    <row r="762" customFormat="false" ht="15.75" hidden="false" customHeight="true" outlineLevel="0" collapsed="false"/>
    <row r="763" customFormat="false" ht="15.75" hidden="false" customHeight="true" outlineLevel="0" collapsed="false"/>
    <row r="764" customFormat="false" ht="15.75" hidden="false" customHeight="true" outlineLevel="0" collapsed="false"/>
    <row r="765" customFormat="false" ht="15.75" hidden="false" customHeight="true" outlineLevel="0" collapsed="false"/>
    <row r="766" customFormat="false" ht="15.75" hidden="false" customHeight="true" outlineLevel="0" collapsed="false"/>
    <row r="767" customFormat="false" ht="15.75" hidden="false" customHeight="true" outlineLevel="0" collapsed="false"/>
    <row r="768" customFormat="false" ht="15.75" hidden="false" customHeight="true" outlineLevel="0" collapsed="false"/>
    <row r="769" customFormat="false" ht="15.75" hidden="false" customHeight="true" outlineLevel="0" collapsed="false"/>
    <row r="770" customFormat="false" ht="15.75" hidden="false" customHeight="true" outlineLevel="0" collapsed="false"/>
    <row r="771" customFormat="false" ht="15.75" hidden="false" customHeight="true" outlineLevel="0" collapsed="false"/>
    <row r="772" customFormat="false" ht="15.75" hidden="false" customHeight="true" outlineLevel="0" collapsed="false"/>
    <row r="773" customFormat="false" ht="15.75" hidden="false" customHeight="true" outlineLevel="0" collapsed="false"/>
    <row r="774" customFormat="false" ht="15.75" hidden="false" customHeight="true" outlineLevel="0" collapsed="false"/>
    <row r="775" customFormat="false" ht="15.75" hidden="false" customHeight="true" outlineLevel="0" collapsed="false"/>
    <row r="776" customFormat="false" ht="15.75" hidden="false" customHeight="true" outlineLevel="0" collapsed="false"/>
    <row r="777" customFormat="false" ht="15.75" hidden="false" customHeight="true" outlineLevel="0" collapsed="false"/>
    <row r="778" customFormat="false" ht="15.75" hidden="false" customHeight="true" outlineLevel="0" collapsed="false"/>
    <row r="779" customFormat="false" ht="15.75" hidden="false" customHeight="true" outlineLevel="0" collapsed="false"/>
    <row r="780" customFormat="false" ht="15.75" hidden="false" customHeight="true" outlineLevel="0" collapsed="false"/>
    <row r="781" customFormat="false" ht="15.75" hidden="false" customHeight="true" outlineLevel="0" collapsed="false"/>
    <row r="782" customFormat="false" ht="15.75" hidden="false" customHeight="true" outlineLevel="0" collapsed="false"/>
    <row r="783" customFormat="false" ht="15.75" hidden="false" customHeight="true" outlineLevel="0" collapsed="false"/>
    <row r="784" customFormat="false" ht="15.75" hidden="false" customHeight="true" outlineLevel="0" collapsed="false"/>
    <row r="785" customFormat="false" ht="15.75" hidden="false" customHeight="true" outlineLevel="0" collapsed="false"/>
    <row r="786" customFormat="false" ht="15.75" hidden="false" customHeight="true" outlineLevel="0" collapsed="false"/>
    <row r="787" customFormat="false" ht="15.75" hidden="false" customHeight="true" outlineLevel="0" collapsed="false"/>
    <row r="788" customFormat="false" ht="15.75" hidden="false" customHeight="true" outlineLevel="0" collapsed="false"/>
    <row r="789" customFormat="false" ht="15.75" hidden="false" customHeight="true" outlineLevel="0" collapsed="false"/>
    <row r="790" customFormat="false" ht="15.75" hidden="false" customHeight="true" outlineLevel="0" collapsed="false"/>
    <row r="791" customFormat="false" ht="15.75" hidden="false" customHeight="true" outlineLevel="0" collapsed="false"/>
    <row r="792" customFormat="false" ht="15.75" hidden="false" customHeight="true" outlineLevel="0" collapsed="false"/>
    <row r="793" customFormat="false" ht="15.75" hidden="false" customHeight="true" outlineLevel="0" collapsed="false"/>
    <row r="794" customFormat="false" ht="15.75" hidden="false" customHeight="true" outlineLevel="0" collapsed="false"/>
    <row r="795" customFormat="false" ht="15.75" hidden="false" customHeight="true" outlineLevel="0" collapsed="false"/>
    <row r="796" customFormat="false" ht="15.75" hidden="false" customHeight="true" outlineLevel="0" collapsed="false"/>
    <row r="797" customFormat="false" ht="15.75" hidden="false" customHeight="true" outlineLevel="0" collapsed="false"/>
    <row r="798" customFormat="false" ht="15.75" hidden="false" customHeight="true" outlineLevel="0" collapsed="false"/>
    <row r="799" customFormat="false" ht="15.75" hidden="false" customHeight="true" outlineLevel="0" collapsed="false"/>
    <row r="800" customFormat="false" ht="15.75" hidden="false" customHeight="true" outlineLevel="0" collapsed="false"/>
    <row r="801" customFormat="false" ht="15.75" hidden="false" customHeight="true" outlineLevel="0" collapsed="false"/>
    <row r="802" customFormat="false" ht="15.75" hidden="false" customHeight="true" outlineLevel="0" collapsed="false"/>
    <row r="803" customFormat="false" ht="15.75" hidden="false" customHeight="true" outlineLevel="0" collapsed="false"/>
    <row r="804" customFormat="false" ht="15.75" hidden="false" customHeight="true" outlineLevel="0" collapsed="false"/>
    <row r="805" customFormat="false" ht="15.75" hidden="false" customHeight="true" outlineLevel="0" collapsed="false"/>
    <row r="806" customFormat="false" ht="15.75" hidden="false" customHeight="true" outlineLevel="0" collapsed="false"/>
    <row r="807" customFormat="false" ht="15.75" hidden="false" customHeight="true" outlineLevel="0" collapsed="false"/>
    <row r="808" customFormat="false" ht="15.75" hidden="false" customHeight="true" outlineLevel="0" collapsed="false"/>
    <row r="809" customFormat="false" ht="15.75" hidden="false" customHeight="true" outlineLevel="0" collapsed="false"/>
    <row r="810" customFormat="false" ht="15.75" hidden="false" customHeight="true" outlineLevel="0" collapsed="false"/>
    <row r="811" customFormat="false" ht="15.75" hidden="false" customHeight="true" outlineLevel="0" collapsed="false"/>
    <row r="812" customFormat="false" ht="15.75" hidden="false" customHeight="true" outlineLevel="0" collapsed="false"/>
    <row r="813" customFormat="false" ht="15.75" hidden="false" customHeight="true" outlineLevel="0" collapsed="false"/>
    <row r="814" customFormat="false" ht="15.75" hidden="false" customHeight="true" outlineLevel="0" collapsed="false"/>
    <row r="815" customFormat="false" ht="15.75" hidden="false" customHeight="true" outlineLevel="0" collapsed="false"/>
    <row r="816" customFormat="false" ht="15.75" hidden="false" customHeight="true" outlineLevel="0" collapsed="false"/>
    <row r="817" customFormat="false" ht="15.75" hidden="false" customHeight="true" outlineLevel="0" collapsed="false"/>
    <row r="818" customFormat="false" ht="15.75" hidden="false" customHeight="true" outlineLevel="0" collapsed="false"/>
    <row r="819" customFormat="false" ht="15.75" hidden="false" customHeight="true" outlineLevel="0" collapsed="false"/>
    <row r="820" customFormat="false" ht="15.75" hidden="false" customHeight="true" outlineLevel="0" collapsed="false"/>
    <row r="821" customFormat="false" ht="15.75" hidden="false" customHeight="true" outlineLevel="0" collapsed="false"/>
    <row r="822" customFormat="false" ht="15.75" hidden="false" customHeight="true" outlineLevel="0" collapsed="false"/>
    <row r="823" customFormat="false" ht="15.75" hidden="false" customHeight="true" outlineLevel="0" collapsed="false"/>
    <row r="824" customFormat="false" ht="15.75" hidden="false" customHeight="true" outlineLevel="0" collapsed="false"/>
    <row r="825" customFormat="false" ht="15.75" hidden="false" customHeight="true" outlineLevel="0" collapsed="false"/>
    <row r="826" customFormat="false" ht="15.75" hidden="false" customHeight="true" outlineLevel="0" collapsed="false"/>
    <row r="827" customFormat="false" ht="15.75" hidden="false" customHeight="true" outlineLevel="0" collapsed="false"/>
    <row r="828" customFormat="false" ht="15.75" hidden="false" customHeight="true" outlineLevel="0" collapsed="false"/>
    <row r="829" customFormat="false" ht="15.75" hidden="false" customHeight="true" outlineLevel="0" collapsed="false"/>
    <row r="830" customFormat="false" ht="15.75" hidden="false" customHeight="true" outlineLevel="0" collapsed="false"/>
    <row r="831" customFormat="false" ht="15.75" hidden="false" customHeight="true" outlineLevel="0" collapsed="false"/>
    <row r="832" customFormat="false" ht="15.75" hidden="false" customHeight="true" outlineLevel="0" collapsed="false"/>
    <row r="833" customFormat="false" ht="15.75" hidden="false" customHeight="true" outlineLevel="0" collapsed="false"/>
    <row r="834" customFormat="false" ht="15.75" hidden="false" customHeight="true" outlineLevel="0" collapsed="false"/>
    <row r="835" customFormat="false" ht="15.75" hidden="false" customHeight="true" outlineLevel="0" collapsed="false"/>
    <row r="836" customFormat="false" ht="15.75" hidden="false" customHeight="true" outlineLevel="0" collapsed="false"/>
    <row r="837" customFormat="false" ht="15.75" hidden="false" customHeight="true" outlineLevel="0" collapsed="false"/>
    <row r="838" customFormat="false" ht="15.75" hidden="false" customHeight="true" outlineLevel="0" collapsed="false"/>
    <row r="839" customFormat="false" ht="15.75" hidden="false" customHeight="true" outlineLevel="0" collapsed="false"/>
    <row r="840" customFormat="false" ht="15.75" hidden="false" customHeight="true" outlineLevel="0" collapsed="false"/>
    <row r="841" customFormat="false" ht="15.75" hidden="false" customHeight="true" outlineLevel="0" collapsed="false"/>
    <row r="842" customFormat="false" ht="15.75" hidden="false" customHeight="true" outlineLevel="0" collapsed="false"/>
    <row r="843" customFormat="false" ht="15.75" hidden="false" customHeight="true" outlineLevel="0" collapsed="false"/>
    <row r="844" customFormat="false" ht="15.75" hidden="false" customHeight="true" outlineLevel="0" collapsed="false"/>
    <row r="845" customFormat="false" ht="15.75" hidden="false" customHeight="true" outlineLevel="0" collapsed="false"/>
    <row r="846" customFormat="false" ht="15.75" hidden="false" customHeight="true" outlineLevel="0" collapsed="false"/>
    <row r="847" customFormat="false" ht="15.75" hidden="false" customHeight="true" outlineLevel="0" collapsed="false"/>
    <row r="848" customFormat="false" ht="15.75" hidden="false" customHeight="true" outlineLevel="0" collapsed="false"/>
    <row r="849" customFormat="false" ht="15.75" hidden="false" customHeight="true" outlineLevel="0" collapsed="false"/>
    <row r="850" customFormat="false" ht="15.75" hidden="false" customHeight="true" outlineLevel="0" collapsed="false"/>
    <row r="851" customFormat="false" ht="15.75" hidden="false" customHeight="true" outlineLevel="0" collapsed="false"/>
    <row r="852" customFormat="false" ht="15.75" hidden="false" customHeight="true" outlineLevel="0" collapsed="false"/>
    <row r="853" customFormat="false" ht="15.75" hidden="false" customHeight="true" outlineLevel="0" collapsed="false"/>
    <row r="854" customFormat="false" ht="15.75" hidden="false" customHeight="true" outlineLevel="0" collapsed="false"/>
    <row r="855" customFormat="false" ht="15.75" hidden="false" customHeight="true" outlineLevel="0" collapsed="false"/>
    <row r="856" customFormat="false" ht="15.75" hidden="false" customHeight="true" outlineLevel="0" collapsed="false"/>
    <row r="857" customFormat="false" ht="15.75" hidden="false" customHeight="true" outlineLevel="0" collapsed="false"/>
    <row r="858" customFormat="false" ht="15.75" hidden="false" customHeight="true" outlineLevel="0" collapsed="false"/>
    <row r="859" customFormat="false" ht="15.75" hidden="false" customHeight="true" outlineLevel="0" collapsed="false"/>
    <row r="860" customFormat="false" ht="15.75" hidden="false" customHeight="true" outlineLevel="0" collapsed="false"/>
    <row r="861" customFormat="false" ht="15.75" hidden="false" customHeight="true" outlineLevel="0" collapsed="false"/>
    <row r="862" customFormat="false" ht="15.75" hidden="false" customHeight="true" outlineLevel="0" collapsed="false"/>
    <row r="863" customFormat="false" ht="15.75" hidden="false" customHeight="true" outlineLevel="0" collapsed="false"/>
    <row r="864" customFormat="false" ht="15.75" hidden="false" customHeight="true" outlineLevel="0" collapsed="false"/>
    <row r="865" customFormat="false" ht="15.75" hidden="false" customHeight="true" outlineLevel="0" collapsed="false"/>
    <row r="866" customFormat="false" ht="15.75" hidden="false" customHeight="true" outlineLevel="0" collapsed="false"/>
    <row r="867" customFormat="false" ht="15.75" hidden="false" customHeight="true" outlineLevel="0" collapsed="false"/>
    <row r="868" customFormat="false" ht="15.75" hidden="false" customHeight="true" outlineLevel="0" collapsed="false"/>
    <row r="869" customFormat="false" ht="15.75" hidden="false" customHeight="true" outlineLevel="0" collapsed="false"/>
    <row r="870" customFormat="false" ht="15.75" hidden="false" customHeight="true" outlineLevel="0" collapsed="false"/>
    <row r="871" customFormat="false" ht="15.75" hidden="false" customHeight="true" outlineLevel="0" collapsed="false"/>
    <row r="872" customFormat="false" ht="15.75" hidden="false" customHeight="true" outlineLevel="0" collapsed="false"/>
    <row r="873" customFormat="false" ht="15.75" hidden="false" customHeight="true" outlineLevel="0" collapsed="false"/>
    <row r="874" customFormat="false" ht="15.75" hidden="false" customHeight="true" outlineLevel="0" collapsed="false"/>
    <row r="875" customFormat="false" ht="15.75" hidden="false" customHeight="true" outlineLevel="0" collapsed="false"/>
    <row r="876" customFormat="false" ht="15.75" hidden="false" customHeight="true" outlineLevel="0" collapsed="false"/>
    <row r="877" customFormat="false" ht="15.75" hidden="false" customHeight="true" outlineLevel="0" collapsed="false"/>
    <row r="878" customFormat="false" ht="15.75" hidden="false" customHeight="true" outlineLevel="0" collapsed="false"/>
    <row r="879" customFormat="false" ht="15.75" hidden="false" customHeight="true" outlineLevel="0" collapsed="false"/>
    <row r="880" customFormat="false" ht="15.75" hidden="false" customHeight="true" outlineLevel="0" collapsed="false"/>
    <row r="881" customFormat="false" ht="15.75" hidden="false" customHeight="true" outlineLevel="0" collapsed="false"/>
    <row r="882" customFormat="false" ht="15.75" hidden="false" customHeight="true" outlineLevel="0" collapsed="false"/>
    <row r="883" customFormat="false" ht="15.75" hidden="false" customHeight="true" outlineLevel="0" collapsed="false"/>
    <row r="884" customFormat="false" ht="15.75" hidden="false" customHeight="true" outlineLevel="0" collapsed="false"/>
    <row r="885" customFormat="false" ht="15.75" hidden="false" customHeight="true" outlineLevel="0" collapsed="false"/>
    <row r="886" customFormat="false" ht="15.75" hidden="false" customHeight="true" outlineLevel="0" collapsed="false"/>
    <row r="887" customFormat="false" ht="15.75" hidden="false" customHeight="true" outlineLevel="0" collapsed="false"/>
    <row r="888" customFormat="false" ht="15.75" hidden="false" customHeight="true" outlineLevel="0" collapsed="false"/>
    <row r="889" customFormat="false" ht="15.75" hidden="false" customHeight="true" outlineLevel="0" collapsed="false"/>
    <row r="890" customFormat="false" ht="15.75" hidden="false" customHeight="true" outlineLevel="0" collapsed="false"/>
    <row r="891" customFormat="false" ht="15.75" hidden="false" customHeight="true" outlineLevel="0" collapsed="false"/>
    <row r="892" customFormat="false" ht="15.75" hidden="false" customHeight="true" outlineLevel="0" collapsed="false"/>
    <row r="893" customFormat="false" ht="15.75" hidden="false" customHeight="true" outlineLevel="0" collapsed="false"/>
    <row r="894" customFormat="false" ht="15.75" hidden="false" customHeight="true" outlineLevel="0" collapsed="false"/>
    <row r="895" customFormat="false" ht="15.75" hidden="false" customHeight="true" outlineLevel="0" collapsed="false"/>
    <row r="896" customFormat="false" ht="15.75" hidden="false" customHeight="true" outlineLevel="0" collapsed="false"/>
    <row r="897" customFormat="false" ht="15.75" hidden="false" customHeight="true" outlineLevel="0" collapsed="false"/>
    <row r="898" customFormat="false" ht="15.75" hidden="false" customHeight="true" outlineLevel="0" collapsed="false"/>
    <row r="899" customFormat="false" ht="15.75" hidden="false" customHeight="true" outlineLevel="0" collapsed="false"/>
    <row r="900" customFormat="false" ht="15.75" hidden="false" customHeight="true" outlineLevel="0" collapsed="false"/>
    <row r="901" customFormat="false" ht="15.75" hidden="false" customHeight="true" outlineLevel="0" collapsed="false"/>
    <row r="902" customFormat="false" ht="15.75" hidden="false" customHeight="true" outlineLevel="0" collapsed="false"/>
    <row r="903" customFormat="false" ht="15.75" hidden="false" customHeight="true" outlineLevel="0" collapsed="false"/>
    <row r="904" customFormat="false" ht="15.75" hidden="false" customHeight="true" outlineLevel="0" collapsed="false"/>
    <row r="905" customFormat="false" ht="15.75" hidden="false" customHeight="true" outlineLevel="0" collapsed="false"/>
    <row r="906" customFormat="false" ht="15.75" hidden="false" customHeight="true" outlineLevel="0" collapsed="false"/>
    <row r="907" customFormat="false" ht="15.75" hidden="false" customHeight="true" outlineLevel="0" collapsed="false"/>
    <row r="908" customFormat="false" ht="15.75" hidden="false" customHeight="true" outlineLevel="0" collapsed="false"/>
    <row r="909" customFormat="false" ht="15.75" hidden="false" customHeight="true" outlineLevel="0" collapsed="false"/>
    <row r="910" customFormat="false" ht="15.75" hidden="false" customHeight="true" outlineLevel="0" collapsed="false"/>
    <row r="911" customFormat="false" ht="15.75" hidden="false" customHeight="true" outlineLevel="0" collapsed="false"/>
    <row r="912" customFormat="false" ht="15.75" hidden="false" customHeight="true" outlineLevel="0" collapsed="false"/>
    <row r="913" customFormat="false" ht="15.75" hidden="false" customHeight="true" outlineLevel="0" collapsed="false"/>
    <row r="914" customFormat="false" ht="15.75" hidden="false" customHeight="true" outlineLevel="0" collapsed="false"/>
    <row r="915" customFormat="false" ht="15.75" hidden="false" customHeight="true" outlineLevel="0" collapsed="false"/>
    <row r="916" customFormat="false" ht="15.75" hidden="false" customHeight="true" outlineLevel="0" collapsed="false"/>
    <row r="917" customFormat="false" ht="15.75" hidden="false" customHeight="true" outlineLevel="0" collapsed="false"/>
    <row r="918" customFormat="false" ht="15.75" hidden="false" customHeight="true" outlineLevel="0" collapsed="false"/>
    <row r="919" customFormat="false" ht="15.75" hidden="false" customHeight="true" outlineLevel="0" collapsed="false"/>
    <row r="920" customFormat="false" ht="15.75" hidden="false" customHeight="true" outlineLevel="0" collapsed="false"/>
    <row r="921" customFormat="false" ht="15.75" hidden="false" customHeight="true" outlineLevel="0" collapsed="false"/>
    <row r="922" customFormat="false" ht="15.75" hidden="false" customHeight="true" outlineLevel="0" collapsed="false"/>
    <row r="923" customFormat="false" ht="15.75" hidden="false" customHeight="true" outlineLevel="0" collapsed="false"/>
    <row r="924" customFormat="false" ht="15.75" hidden="false" customHeight="true" outlineLevel="0" collapsed="false"/>
    <row r="925" customFormat="false" ht="15.75" hidden="false" customHeight="true" outlineLevel="0" collapsed="false"/>
    <row r="926" customFormat="false" ht="15.75" hidden="false" customHeight="true" outlineLevel="0" collapsed="false"/>
    <row r="927" customFormat="false" ht="15.75" hidden="false" customHeight="true" outlineLevel="0" collapsed="false"/>
    <row r="928" customFormat="false" ht="15.75" hidden="false" customHeight="true" outlineLevel="0" collapsed="false"/>
    <row r="929" customFormat="false" ht="15.75" hidden="false" customHeight="true" outlineLevel="0" collapsed="false"/>
    <row r="930" customFormat="false" ht="15.75" hidden="false" customHeight="true" outlineLevel="0" collapsed="false"/>
    <row r="931" customFormat="false" ht="15.75" hidden="false" customHeight="true" outlineLevel="0" collapsed="false"/>
    <row r="932" customFormat="false" ht="15.75" hidden="false" customHeight="true" outlineLevel="0" collapsed="false"/>
    <row r="933" customFormat="false" ht="15.75" hidden="false" customHeight="true" outlineLevel="0" collapsed="false"/>
    <row r="934" customFormat="false" ht="15.75" hidden="false" customHeight="true" outlineLevel="0" collapsed="false"/>
    <row r="935" customFormat="false" ht="15.75" hidden="false" customHeight="true" outlineLevel="0" collapsed="false"/>
    <row r="936" customFormat="false" ht="15.75" hidden="false" customHeight="true" outlineLevel="0" collapsed="false"/>
    <row r="937" customFormat="false" ht="15.75" hidden="false" customHeight="true" outlineLevel="0" collapsed="false"/>
    <row r="938" customFormat="false" ht="15.75" hidden="false" customHeight="true" outlineLevel="0" collapsed="false"/>
    <row r="939" customFormat="false" ht="15.75" hidden="false" customHeight="true" outlineLevel="0" collapsed="false"/>
    <row r="940" customFormat="false" ht="15.75" hidden="false" customHeight="true" outlineLevel="0" collapsed="false"/>
    <row r="941" customFormat="false" ht="15.75" hidden="false" customHeight="true" outlineLevel="0" collapsed="false"/>
    <row r="942" customFormat="false" ht="15.75" hidden="false" customHeight="true" outlineLevel="0" collapsed="false"/>
    <row r="943" customFormat="false" ht="15.75" hidden="false" customHeight="true" outlineLevel="0" collapsed="false"/>
    <row r="944" customFormat="false" ht="15.75" hidden="false" customHeight="true" outlineLevel="0" collapsed="false"/>
    <row r="945" customFormat="false" ht="15.75" hidden="false" customHeight="true" outlineLevel="0" collapsed="false"/>
    <row r="946" customFormat="false" ht="15.75" hidden="false" customHeight="true" outlineLevel="0" collapsed="false"/>
    <row r="947" customFormat="false" ht="15.75" hidden="false" customHeight="true" outlineLevel="0" collapsed="false"/>
    <row r="948" customFormat="false" ht="15.75" hidden="false" customHeight="true" outlineLevel="0" collapsed="false"/>
    <row r="949" customFormat="false" ht="15.75" hidden="false" customHeight="true" outlineLevel="0" collapsed="false"/>
    <row r="950" customFormat="false" ht="15.75" hidden="false" customHeight="true" outlineLevel="0" collapsed="false"/>
    <row r="951" customFormat="false" ht="15.75" hidden="false" customHeight="true" outlineLevel="0" collapsed="false"/>
    <row r="952" customFormat="false" ht="15.75" hidden="false" customHeight="true" outlineLevel="0" collapsed="false"/>
    <row r="953" customFormat="false" ht="15.75" hidden="false" customHeight="true" outlineLevel="0" collapsed="false"/>
    <row r="954" customFormat="false" ht="15.75" hidden="false" customHeight="true" outlineLevel="0" collapsed="false"/>
    <row r="955" customFormat="false" ht="15.75" hidden="false" customHeight="true" outlineLevel="0" collapsed="false"/>
    <row r="956" customFormat="false" ht="15.75" hidden="false" customHeight="true" outlineLevel="0" collapsed="false"/>
    <row r="957" customFormat="false" ht="15.75" hidden="false" customHeight="true" outlineLevel="0" collapsed="false"/>
    <row r="958" customFormat="false" ht="15.75" hidden="false" customHeight="true" outlineLevel="0" collapsed="false"/>
    <row r="959" customFormat="false" ht="15.75" hidden="false" customHeight="true" outlineLevel="0" collapsed="false"/>
    <row r="960" customFormat="false" ht="15.75" hidden="false" customHeight="true" outlineLevel="0" collapsed="false"/>
    <row r="961" customFormat="false" ht="15.75" hidden="false" customHeight="true" outlineLevel="0" collapsed="false"/>
    <row r="962" customFormat="false" ht="15.75" hidden="false" customHeight="true" outlineLevel="0" collapsed="false"/>
    <row r="963" customFormat="false" ht="15.75" hidden="false" customHeight="true" outlineLevel="0" collapsed="false"/>
    <row r="964" customFormat="false" ht="15.75" hidden="false" customHeight="true" outlineLevel="0" collapsed="false"/>
    <row r="965" customFormat="false" ht="15.75" hidden="false" customHeight="true" outlineLevel="0" collapsed="false"/>
    <row r="966" customFormat="false" ht="15.75" hidden="false" customHeight="true" outlineLevel="0" collapsed="false"/>
    <row r="967" customFormat="false" ht="15.75" hidden="false" customHeight="true" outlineLevel="0" collapsed="false"/>
    <row r="968" customFormat="false" ht="15.75" hidden="false" customHeight="true" outlineLevel="0" collapsed="false"/>
    <row r="969" customFormat="false" ht="15.75" hidden="false" customHeight="true" outlineLevel="0" collapsed="false"/>
    <row r="970" customFormat="false" ht="15.75" hidden="false" customHeight="true" outlineLevel="0" collapsed="false"/>
    <row r="971" customFormat="false" ht="15.75" hidden="false" customHeight="true" outlineLevel="0" collapsed="false"/>
    <row r="972" customFormat="false" ht="15.75" hidden="false" customHeight="true" outlineLevel="0" collapsed="false"/>
    <row r="973" customFormat="false" ht="15.75" hidden="false" customHeight="true" outlineLevel="0" collapsed="false"/>
    <row r="974" customFormat="false" ht="15.75" hidden="false" customHeight="true" outlineLevel="0" collapsed="false"/>
    <row r="975" customFormat="false" ht="15.75" hidden="false" customHeight="true" outlineLevel="0" collapsed="false"/>
    <row r="976" customFormat="false" ht="15.75" hidden="false" customHeight="true" outlineLevel="0" collapsed="false"/>
    <row r="977" customFormat="false" ht="15.75" hidden="false" customHeight="true" outlineLevel="0" collapsed="false"/>
    <row r="978" customFormat="false" ht="15.75" hidden="false" customHeight="true" outlineLevel="0" collapsed="false"/>
    <row r="979" customFormat="false" ht="15.75" hidden="false" customHeight="true" outlineLevel="0" collapsed="false"/>
    <row r="980" customFormat="false" ht="15.75" hidden="false" customHeight="true" outlineLevel="0" collapsed="false"/>
    <row r="981" customFormat="false" ht="15.75" hidden="false" customHeight="true" outlineLevel="0" collapsed="false"/>
    <row r="982" customFormat="false" ht="15.75" hidden="false" customHeight="true" outlineLevel="0" collapsed="false"/>
    <row r="983" customFormat="false" ht="15.75" hidden="false" customHeight="true" outlineLevel="0" collapsed="false"/>
    <row r="984" customFormat="false" ht="15.75" hidden="false" customHeight="true" outlineLevel="0" collapsed="false"/>
    <row r="985" customFormat="false" ht="15.75" hidden="false" customHeight="true" outlineLevel="0" collapsed="false"/>
    <row r="986" customFormat="false" ht="15.75" hidden="false" customHeight="true" outlineLevel="0" collapsed="false"/>
    <row r="987" customFormat="false" ht="15.75" hidden="false" customHeight="true" outlineLevel="0" collapsed="false"/>
    <row r="988" customFormat="false" ht="15.75" hidden="false" customHeight="true" outlineLevel="0" collapsed="false"/>
    <row r="989" customFormat="false" ht="15.75" hidden="false" customHeight="true" outlineLevel="0" collapsed="false"/>
    <row r="990" customFormat="false" ht="15.75" hidden="false" customHeight="true" outlineLevel="0" collapsed="false"/>
    <row r="991" customFormat="false" ht="15.75" hidden="false" customHeight="true" outlineLevel="0" collapsed="false"/>
    <row r="992" customFormat="false" ht="15.75" hidden="false" customHeight="true" outlineLevel="0" collapsed="false"/>
    <row r="993" customFormat="false" ht="15.75" hidden="false" customHeight="true" outlineLevel="0" collapsed="false"/>
    <row r="994" customFormat="false" ht="15.75" hidden="false" customHeight="true" outlineLevel="0" collapsed="false"/>
    <row r="995" customFormat="false" ht="15.75" hidden="false" customHeight="true" outlineLevel="0" collapsed="false"/>
    <row r="996" customFormat="false" ht="15.75" hidden="false" customHeight="true" outlineLevel="0" collapsed="false"/>
    <row r="997" customFormat="false" ht="15.75" hidden="false" customHeight="true" outlineLevel="0" collapsed="false"/>
    <row r="998" customFormat="false" ht="15.75" hidden="false" customHeight="true" outlineLevel="0" collapsed="false"/>
    <row r="999" customFormat="false" ht="15.75" hidden="false" customHeight="true" outlineLevel="0" collapsed="false"/>
    <row r="1000" customFormat="false" ht="15.75" hidden="false" customHeight="true" outlineLevel="0" collapsed="false"/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414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2025-12-08T06:44:03Z</dcterms:created>
  <dc:creator>hp</dc:creator>
  <dc:description/>
  <dc:language>fr-FR</dc:language>
  <cp:lastModifiedBy/>
  <dcterms:modified xsi:type="dcterms:W3CDTF">2025-12-08T17:22:06Z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